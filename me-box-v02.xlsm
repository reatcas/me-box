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Casaña\Desktop\me-box-master\"/>
    </mc:Choice>
  </mc:AlternateContent>
  <bookViews>
    <workbookView xWindow="0" yWindow="0" windowWidth="21570" windowHeight="4155"/>
  </bookViews>
  <sheets>
    <sheet name="HM01-Form" sheetId="1" r:id="rId1"/>
    <sheet name="HM01-FormSource" sheetId="3" r:id="rId2"/>
    <sheet name="HM02-Calc" sheetId="6" r:id="rId3"/>
    <sheet name="Translations" sheetId="2" state="hidden" r:id="rId4"/>
    <sheet name="Documentation" sheetId="5" r:id="rId5"/>
    <sheet name="License" sheetId="7" r:id="rId6"/>
  </sheets>
  <definedNames>
    <definedName name="Phase">Translations!$A$54:$A$58</definedName>
    <definedName name="QL">Translations!$A$34:$A$41</definedName>
    <definedName name="QQ">Translations!$A$34:$A$44</definedName>
    <definedName name="QT">Translations!$A$42:$A$44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6" l="1"/>
  <c r="C6" i="6"/>
  <c r="C5" i="6"/>
  <c r="C4" i="6"/>
  <c r="C11" i="6"/>
  <c r="H12" i="6" s="1"/>
  <c r="W8" i="1" s="1"/>
  <c r="B15" i="1"/>
  <c r="B14" i="1"/>
  <c r="B13" i="1"/>
  <c r="B12" i="1"/>
  <c r="B11" i="1"/>
  <c r="B10" i="1"/>
  <c r="B9" i="1"/>
  <c r="Q12" i="1"/>
  <c r="Q11" i="1"/>
  <c r="Q10" i="1"/>
  <c r="Q9" i="1"/>
  <c r="Q8" i="1"/>
  <c r="Q7" i="1"/>
  <c r="Q5" i="1"/>
  <c r="B8" i="1"/>
  <c r="B17" i="1"/>
  <c r="W2" i="1"/>
  <c r="B7" i="1"/>
  <c r="B5" i="1"/>
  <c r="B1" i="1"/>
  <c r="B4" i="1"/>
  <c r="J107" i="6"/>
  <c r="I107" i="6"/>
  <c r="H107" i="6"/>
  <c r="G107" i="6"/>
  <c r="F107" i="6"/>
  <c r="E107" i="6"/>
  <c r="D107" i="6"/>
  <c r="C107" i="6"/>
  <c r="J106" i="6"/>
  <c r="I106" i="6"/>
  <c r="H106" i="6"/>
  <c r="G106" i="6"/>
  <c r="F106" i="6"/>
  <c r="E106" i="6"/>
  <c r="D106" i="6"/>
  <c r="C106" i="6"/>
  <c r="J105" i="6"/>
  <c r="I105" i="6"/>
  <c r="H105" i="6"/>
  <c r="G105" i="6"/>
  <c r="F105" i="6"/>
  <c r="E105" i="6"/>
  <c r="D105" i="6"/>
  <c r="C105" i="6"/>
  <c r="J104" i="6"/>
  <c r="I104" i="6"/>
  <c r="H104" i="6"/>
  <c r="G104" i="6"/>
  <c r="F104" i="6"/>
  <c r="E104" i="6"/>
  <c r="D104" i="6"/>
  <c r="C104" i="6"/>
  <c r="J103" i="6"/>
  <c r="I103" i="6"/>
  <c r="H103" i="6"/>
  <c r="G103" i="6"/>
  <c r="F103" i="6"/>
  <c r="E103" i="6"/>
  <c r="D103" i="6"/>
  <c r="C103" i="6"/>
  <c r="J102" i="6"/>
  <c r="I102" i="6"/>
  <c r="H102" i="6"/>
  <c r="G102" i="6"/>
  <c r="F102" i="6"/>
  <c r="E102" i="6"/>
  <c r="D102" i="6"/>
  <c r="C102" i="6"/>
  <c r="J101" i="6"/>
  <c r="I101" i="6"/>
  <c r="H101" i="6"/>
  <c r="G101" i="6"/>
  <c r="F101" i="6"/>
  <c r="E101" i="6"/>
  <c r="D101" i="6"/>
  <c r="C101" i="6"/>
  <c r="J100" i="6"/>
  <c r="I100" i="6"/>
  <c r="H100" i="6"/>
  <c r="G100" i="6"/>
  <c r="F100" i="6"/>
  <c r="E100" i="6"/>
  <c r="D100" i="6"/>
  <c r="C100" i="6"/>
  <c r="J99" i="6"/>
  <c r="I99" i="6"/>
  <c r="H99" i="6"/>
  <c r="G99" i="6"/>
  <c r="F99" i="6"/>
  <c r="E99" i="6"/>
  <c r="D99" i="6"/>
  <c r="C99" i="6"/>
  <c r="J98" i="6"/>
  <c r="I98" i="6"/>
  <c r="H98" i="6"/>
  <c r="G98" i="6"/>
  <c r="F98" i="6"/>
  <c r="E98" i="6"/>
  <c r="D98" i="6"/>
  <c r="C98" i="6"/>
  <c r="J97" i="6"/>
  <c r="I97" i="6"/>
  <c r="H97" i="6"/>
  <c r="G97" i="6"/>
  <c r="F97" i="6"/>
  <c r="E97" i="6"/>
  <c r="D97" i="6"/>
  <c r="C97" i="6"/>
  <c r="J96" i="6"/>
  <c r="I96" i="6"/>
  <c r="H96" i="6"/>
  <c r="G96" i="6"/>
  <c r="F96" i="6"/>
  <c r="E96" i="6"/>
  <c r="D96" i="6"/>
  <c r="C96" i="6"/>
  <c r="J95" i="6"/>
  <c r="I95" i="6"/>
  <c r="H95" i="6"/>
  <c r="G95" i="6"/>
  <c r="F95" i="6"/>
  <c r="E95" i="6"/>
  <c r="D95" i="6"/>
  <c r="C95" i="6"/>
  <c r="J94" i="6"/>
  <c r="I94" i="6"/>
  <c r="H94" i="6"/>
  <c r="G94" i="6"/>
  <c r="F94" i="6"/>
  <c r="E94" i="6"/>
  <c r="D94" i="6"/>
  <c r="C94" i="6"/>
  <c r="J93" i="6"/>
  <c r="I93" i="6"/>
  <c r="H93" i="6"/>
  <c r="G93" i="6"/>
  <c r="F93" i="6"/>
  <c r="E93" i="6"/>
  <c r="D93" i="6"/>
  <c r="C93" i="6"/>
  <c r="J92" i="6"/>
  <c r="I92" i="6"/>
  <c r="H92" i="6"/>
  <c r="G92" i="6"/>
  <c r="F92" i="6"/>
  <c r="E92" i="6"/>
  <c r="D92" i="6"/>
  <c r="C92" i="6"/>
  <c r="J91" i="6"/>
  <c r="I91" i="6"/>
  <c r="H91" i="6"/>
  <c r="G91" i="6"/>
  <c r="F91" i="6"/>
  <c r="E91" i="6"/>
  <c r="D91" i="6"/>
  <c r="C91" i="6"/>
  <c r="J90" i="6"/>
  <c r="I90" i="6"/>
  <c r="H90" i="6"/>
  <c r="G90" i="6"/>
  <c r="F90" i="6"/>
  <c r="E90" i="6"/>
  <c r="D90" i="6"/>
  <c r="C90" i="6"/>
  <c r="J89" i="6"/>
  <c r="I89" i="6"/>
  <c r="H89" i="6"/>
  <c r="G89" i="6"/>
  <c r="F89" i="6"/>
  <c r="E89" i="6"/>
  <c r="D89" i="6"/>
  <c r="C89" i="6"/>
  <c r="J88" i="6"/>
  <c r="I88" i="6"/>
  <c r="H88" i="6"/>
  <c r="G88" i="6"/>
  <c r="F88" i="6"/>
  <c r="E88" i="6"/>
  <c r="D88" i="6"/>
  <c r="C88" i="6"/>
  <c r="J87" i="6"/>
  <c r="I87" i="6"/>
  <c r="H87" i="6"/>
  <c r="G87" i="6"/>
  <c r="F87" i="6"/>
  <c r="E87" i="6"/>
  <c r="D87" i="6"/>
  <c r="C87" i="6"/>
  <c r="J86" i="6"/>
  <c r="I86" i="6"/>
  <c r="H86" i="6"/>
  <c r="G86" i="6"/>
  <c r="F86" i="6"/>
  <c r="E86" i="6"/>
  <c r="D86" i="6"/>
  <c r="C86" i="6"/>
  <c r="J85" i="6"/>
  <c r="I85" i="6"/>
  <c r="H85" i="6"/>
  <c r="G85" i="6"/>
  <c r="F85" i="6"/>
  <c r="E85" i="6"/>
  <c r="D85" i="6"/>
  <c r="C85" i="6"/>
  <c r="J84" i="6"/>
  <c r="I84" i="6"/>
  <c r="H84" i="6"/>
  <c r="G84" i="6"/>
  <c r="F84" i="6"/>
  <c r="E84" i="6"/>
  <c r="D84" i="6"/>
  <c r="C84" i="6"/>
  <c r="J83" i="6"/>
  <c r="I83" i="6"/>
  <c r="H83" i="6"/>
  <c r="G83" i="6"/>
  <c r="F83" i="6"/>
  <c r="E83" i="6"/>
  <c r="D83" i="6"/>
  <c r="C83" i="6"/>
  <c r="J82" i="6"/>
  <c r="I82" i="6"/>
  <c r="H82" i="6"/>
  <c r="G82" i="6"/>
  <c r="F82" i="6"/>
  <c r="E82" i="6"/>
  <c r="D82" i="6"/>
  <c r="C82" i="6"/>
  <c r="J81" i="6"/>
  <c r="I81" i="6"/>
  <c r="H81" i="6"/>
  <c r="G81" i="6"/>
  <c r="F81" i="6"/>
  <c r="E81" i="6"/>
  <c r="D81" i="6"/>
  <c r="C81" i="6"/>
  <c r="J80" i="6"/>
  <c r="I80" i="6"/>
  <c r="H80" i="6"/>
  <c r="G80" i="6"/>
  <c r="F80" i="6"/>
  <c r="E80" i="6"/>
  <c r="D80" i="6"/>
  <c r="C80" i="6"/>
  <c r="J79" i="6"/>
  <c r="I79" i="6"/>
  <c r="H79" i="6"/>
  <c r="G79" i="6"/>
  <c r="F79" i="6"/>
  <c r="E79" i="6"/>
  <c r="D79" i="6"/>
  <c r="C79" i="6"/>
  <c r="J78" i="6"/>
  <c r="I78" i="6"/>
  <c r="H78" i="6"/>
  <c r="G78" i="6"/>
  <c r="F78" i="6"/>
  <c r="E78" i="6"/>
  <c r="D78" i="6"/>
  <c r="C78" i="6"/>
  <c r="J77" i="6"/>
  <c r="I77" i="6"/>
  <c r="H77" i="6"/>
  <c r="G77" i="6"/>
  <c r="F77" i="6"/>
  <c r="E77" i="6"/>
  <c r="D77" i="6"/>
  <c r="C77" i="6"/>
  <c r="J76" i="6"/>
  <c r="I76" i="6"/>
  <c r="H76" i="6"/>
  <c r="G76" i="6"/>
  <c r="F76" i="6"/>
  <c r="E76" i="6"/>
  <c r="D76" i="6"/>
  <c r="C76" i="6"/>
  <c r="J75" i="6"/>
  <c r="I75" i="6"/>
  <c r="H75" i="6"/>
  <c r="G75" i="6"/>
  <c r="F75" i="6"/>
  <c r="E75" i="6"/>
  <c r="D75" i="6"/>
  <c r="C75" i="6"/>
  <c r="J74" i="6"/>
  <c r="I74" i="6"/>
  <c r="H74" i="6"/>
  <c r="G74" i="6"/>
  <c r="F74" i="6"/>
  <c r="E74" i="6"/>
  <c r="D74" i="6"/>
  <c r="C74" i="6"/>
  <c r="J73" i="6"/>
  <c r="I73" i="6"/>
  <c r="H73" i="6"/>
  <c r="G73" i="6"/>
  <c r="F73" i="6"/>
  <c r="E73" i="6"/>
  <c r="D73" i="6"/>
  <c r="C73" i="6"/>
  <c r="Q13" i="1" l="1"/>
  <c r="W13" i="1"/>
  <c r="E19" i="1"/>
  <c r="C19" i="1"/>
  <c r="AB19" i="1"/>
  <c r="Y19" i="1"/>
  <c r="S19" i="1"/>
  <c r="V19" i="1"/>
  <c r="P19" i="1"/>
  <c r="H15" i="1"/>
  <c r="Q1" i="1"/>
  <c r="H14" i="1"/>
  <c r="H12" i="1"/>
  <c r="H13" i="1"/>
  <c r="B52" i="1" l="1"/>
  <c r="B41" i="1"/>
  <c r="B30" i="1"/>
  <c r="B20" i="1"/>
  <c r="P52" i="1"/>
  <c r="S52" i="1"/>
  <c r="V52" i="1"/>
  <c r="Y52" i="1"/>
  <c r="AB52" i="1"/>
  <c r="B53" i="1"/>
  <c r="P53" i="1"/>
  <c r="S53" i="1"/>
  <c r="V53" i="1"/>
  <c r="Y53" i="1"/>
  <c r="AB53" i="1"/>
  <c r="B54" i="1"/>
  <c r="P54" i="1"/>
  <c r="S54" i="1"/>
  <c r="V54" i="1"/>
  <c r="Y54" i="1"/>
  <c r="AB54" i="1"/>
  <c r="B55" i="1"/>
  <c r="P55" i="1"/>
  <c r="S55" i="1"/>
  <c r="V55" i="1"/>
  <c r="Y55" i="1"/>
  <c r="AB55" i="1"/>
  <c r="B56" i="1"/>
  <c r="P56" i="1"/>
  <c r="S56" i="1"/>
  <c r="V56" i="1"/>
  <c r="Y56" i="1"/>
  <c r="AB56" i="1"/>
  <c r="B57" i="1"/>
  <c r="P57" i="1"/>
  <c r="S57" i="1"/>
  <c r="V57" i="1"/>
  <c r="Y57" i="1"/>
  <c r="AB57" i="1"/>
  <c r="B58" i="1"/>
  <c r="P58" i="1"/>
  <c r="S58" i="1"/>
  <c r="V58" i="1"/>
  <c r="Y58" i="1"/>
  <c r="AB58" i="1"/>
  <c r="B59" i="1"/>
  <c r="P59" i="1"/>
  <c r="S59" i="1"/>
  <c r="V59" i="1"/>
  <c r="Y59" i="1"/>
  <c r="AB59" i="1"/>
  <c r="B60" i="1"/>
  <c r="P60" i="1"/>
  <c r="S60" i="1"/>
  <c r="V60" i="1"/>
  <c r="Y60" i="1"/>
  <c r="AB60" i="1"/>
  <c r="B61" i="1"/>
  <c r="P61" i="1"/>
  <c r="S61" i="1"/>
  <c r="V61" i="1"/>
  <c r="Y61" i="1"/>
  <c r="AB61" i="1"/>
  <c r="B62" i="1"/>
  <c r="P62" i="1"/>
  <c r="S62" i="1"/>
  <c r="V62" i="1"/>
  <c r="Y62" i="1"/>
  <c r="AB62" i="1"/>
  <c r="P41" i="1"/>
  <c r="S41" i="1"/>
  <c r="V41" i="1"/>
  <c r="Y41" i="1"/>
  <c r="AB41" i="1"/>
  <c r="B42" i="1"/>
  <c r="P42" i="1"/>
  <c r="S42" i="1"/>
  <c r="V42" i="1"/>
  <c r="Y42" i="1"/>
  <c r="AB42" i="1"/>
  <c r="B43" i="1"/>
  <c r="P43" i="1"/>
  <c r="S43" i="1"/>
  <c r="V43" i="1"/>
  <c r="Y43" i="1"/>
  <c r="AB43" i="1"/>
  <c r="B44" i="1"/>
  <c r="P44" i="1"/>
  <c r="S44" i="1"/>
  <c r="V44" i="1"/>
  <c r="Y44" i="1"/>
  <c r="AB44" i="1"/>
  <c r="B45" i="1"/>
  <c r="P45" i="1"/>
  <c r="S45" i="1"/>
  <c r="V45" i="1"/>
  <c r="Y45" i="1"/>
  <c r="AB45" i="1"/>
  <c r="B46" i="1"/>
  <c r="P46" i="1"/>
  <c r="S46" i="1"/>
  <c r="V46" i="1"/>
  <c r="Y46" i="1"/>
  <c r="AB46" i="1"/>
  <c r="B47" i="1"/>
  <c r="P47" i="1"/>
  <c r="S47" i="1"/>
  <c r="V47" i="1"/>
  <c r="Y47" i="1"/>
  <c r="AB47" i="1"/>
  <c r="B48" i="1"/>
  <c r="P48" i="1"/>
  <c r="S48" i="1"/>
  <c r="V48" i="1"/>
  <c r="Y48" i="1"/>
  <c r="AB48" i="1"/>
  <c r="B49" i="1"/>
  <c r="P49" i="1"/>
  <c r="S49" i="1"/>
  <c r="V49" i="1"/>
  <c r="Y49" i="1"/>
  <c r="AB49" i="1"/>
  <c r="B50" i="1"/>
  <c r="P50" i="1"/>
  <c r="S50" i="1"/>
  <c r="V50" i="1"/>
  <c r="Y50" i="1"/>
  <c r="AB50" i="1"/>
  <c r="B51" i="1"/>
  <c r="P51" i="1"/>
  <c r="S51" i="1"/>
  <c r="V51" i="1"/>
  <c r="Y51" i="1"/>
  <c r="AB51" i="1"/>
  <c r="B40" i="1"/>
  <c r="P40" i="1"/>
  <c r="S40" i="1"/>
  <c r="V40" i="1"/>
  <c r="Y40" i="1"/>
  <c r="AB40" i="1"/>
  <c r="P30" i="1"/>
  <c r="S30" i="1"/>
  <c r="V30" i="1"/>
  <c r="Y30" i="1"/>
  <c r="AB30" i="1"/>
  <c r="B31" i="1"/>
  <c r="P31" i="1"/>
  <c r="S31" i="1"/>
  <c r="V31" i="1"/>
  <c r="Y31" i="1"/>
  <c r="AB31" i="1"/>
  <c r="B32" i="1"/>
  <c r="P32" i="1"/>
  <c r="S32" i="1"/>
  <c r="V32" i="1"/>
  <c r="Y32" i="1"/>
  <c r="AB32" i="1"/>
  <c r="B33" i="1"/>
  <c r="P33" i="1"/>
  <c r="S33" i="1"/>
  <c r="V33" i="1"/>
  <c r="Y33" i="1"/>
  <c r="AB33" i="1"/>
  <c r="B34" i="1"/>
  <c r="P34" i="1"/>
  <c r="S34" i="1"/>
  <c r="V34" i="1"/>
  <c r="Y34" i="1"/>
  <c r="AB34" i="1"/>
  <c r="B35" i="1"/>
  <c r="P35" i="1"/>
  <c r="S35" i="1"/>
  <c r="V35" i="1"/>
  <c r="Y35" i="1"/>
  <c r="AB35" i="1"/>
  <c r="B36" i="1"/>
  <c r="P36" i="1"/>
  <c r="S36" i="1"/>
  <c r="V36" i="1"/>
  <c r="Y36" i="1"/>
  <c r="AB36" i="1"/>
  <c r="B37" i="1"/>
  <c r="P37" i="1"/>
  <c r="S37" i="1"/>
  <c r="V37" i="1"/>
  <c r="Y37" i="1"/>
  <c r="AB37" i="1"/>
  <c r="B38" i="1"/>
  <c r="P38" i="1"/>
  <c r="S38" i="1"/>
  <c r="V38" i="1"/>
  <c r="Y38" i="1"/>
  <c r="AB38" i="1"/>
  <c r="B39" i="1"/>
  <c r="P39" i="1"/>
  <c r="S39" i="1"/>
  <c r="V39" i="1"/>
  <c r="Y39" i="1"/>
  <c r="AB39" i="1"/>
  <c r="B21" i="1"/>
  <c r="B22" i="1"/>
  <c r="B23" i="1"/>
  <c r="B24" i="1"/>
  <c r="B25" i="1"/>
  <c r="B26" i="1"/>
  <c r="B27" i="1"/>
  <c r="B28" i="1"/>
  <c r="B29" i="1"/>
  <c r="AB22" i="1"/>
  <c r="AB23" i="1"/>
  <c r="AB24" i="1"/>
  <c r="AB25" i="1"/>
  <c r="AB26" i="1"/>
  <c r="AB27" i="1"/>
  <c r="AB28" i="1"/>
  <c r="AB29" i="1"/>
  <c r="Y22" i="1"/>
  <c r="Y23" i="1"/>
  <c r="Y24" i="1"/>
  <c r="Y25" i="1"/>
  <c r="Y26" i="1"/>
  <c r="Y27" i="1"/>
  <c r="Y28" i="1"/>
  <c r="Y29" i="1"/>
  <c r="V22" i="1"/>
  <c r="V23" i="1"/>
  <c r="V24" i="1"/>
  <c r="V25" i="1"/>
  <c r="V26" i="1"/>
  <c r="V27" i="1"/>
  <c r="V28" i="1"/>
  <c r="V29" i="1"/>
  <c r="S22" i="1"/>
  <c r="S23" i="1"/>
  <c r="S24" i="1"/>
  <c r="S25" i="1"/>
  <c r="S26" i="1"/>
  <c r="S27" i="1"/>
  <c r="S28" i="1"/>
  <c r="S29" i="1"/>
  <c r="P22" i="1"/>
  <c r="P23" i="1"/>
  <c r="P24" i="1"/>
  <c r="P25" i="1"/>
  <c r="P26" i="1"/>
  <c r="P27" i="1"/>
  <c r="P28" i="1"/>
  <c r="P29" i="1"/>
  <c r="AB20" i="1"/>
  <c r="Y20" i="1"/>
  <c r="V20" i="1"/>
  <c r="S20" i="1"/>
  <c r="P20" i="1"/>
  <c r="AB21" i="1"/>
  <c r="Y21" i="1"/>
  <c r="V21" i="1"/>
  <c r="S21" i="1"/>
  <c r="P21" i="1"/>
  <c r="B19" i="1"/>
</calcChain>
</file>

<file path=xl/sharedStrings.xml><?xml version="1.0" encoding="utf-8"?>
<sst xmlns="http://schemas.openxmlformats.org/spreadsheetml/2006/main" count="258" uniqueCount="246">
  <si>
    <t>Proyecto</t>
  </si>
  <si>
    <t>Project</t>
  </si>
  <si>
    <t>Author</t>
  </si>
  <si>
    <t>Sample Size</t>
  </si>
  <si>
    <t>Grant</t>
  </si>
  <si>
    <t>Qualitative</t>
  </si>
  <si>
    <t>Session time</t>
  </si>
  <si>
    <t>Common traits</t>
  </si>
  <si>
    <t>Location</t>
  </si>
  <si>
    <t>Total Population</t>
  </si>
  <si>
    <t>Project Name</t>
  </si>
  <si>
    <t>Quantitative</t>
  </si>
  <si>
    <t>LQAS</t>
  </si>
  <si>
    <t>Sitio centinela</t>
  </si>
  <si>
    <t>English</t>
  </si>
  <si>
    <t>Español</t>
  </si>
  <si>
    <t>Language</t>
  </si>
  <si>
    <t>Autor</t>
  </si>
  <si>
    <t>Fecha</t>
  </si>
  <si>
    <t>Población total</t>
  </si>
  <si>
    <t>Rasgos en común</t>
  </si>
  <si>
    <t>Lugar</t>
  </si>
  <si>
    <t>Tiempo de sesión</t>
  </si>
  <si>
    <t>Modalidad</t>
  </si>
  <si>
    <t>Key</t>
  </si>
  <si>
    <t>Cualitativa</t>
  </si>
  <si>
    <t>Cuantitativa</t>
  </si>
  <si>
    <t>Organización</t>
  </si>
  <si>
    <t>Organization</t>
  </si>
  <si>
    <t>Idioma</t>
  </si>
  <si>
    <t>Acrónimo</t>
  </si>
  <si>
    <t>Acronym</t>
  </si>
  <si>
    <t>Date</t>
  </si>
  <si>
    <t>#</t>
  </si>
  <si>
    <t>Monitoring Tool</t>
  </si>
  <si>
    <t>Herramienta de Monitoreo</t>
  </si>
  <si>
    <t>Question</t>
  </si>
  <si>
    <t>Entrevista individual</t>
  </si>
  <si>
    <t>Entrevista grupal</t>
  </si>
  <si>
    <t>Observación</t>
  </si>
  <si>
    <t>Grupo focal</t>
  </si>
  <si>
    <t>Reunión comunitaria</t>
  </si>
  <si>
    <t>Mapeo social</t>
  </si>
  <si>
    <t>Interpretación de registros</t>
  </si>
  <si>
    <t>Cuantitativo</t>
  </si>
  <si>
    <t>Cualitativo</t>
  </si>
  <si>
    <t>• Transfieren preguntas a números.</t>
  </si>
  <si>
    <t>• Representa sus resultados en números.</t>
  </si>
  <si>
    <t>• Suelen responder a preguntas tales como: ¿cuánto? ¿con qué frecuencia?</t>
  </si>
  <si>
    <t>• Cuando se usan para comparar resultados de programas o proyectos, aplican las mismas pruebas.</t>
  </si>
  <si>
    <t>• No proporcionan resultados por sí mismos.</t>
  </si>
  <si>
    <t>• Suelen responder a preguntas tales como: ¿cómo? ¿Por qué? ¿Qué piensa sobre..?</t>
  </si>
  <si>
    <t>• Cuando observan una situación compleja se ven sus diferentes aspectos.</t>
  </si>
  <si>
    <t>• No solamente se pueden comparar manzanas con manzanas, o manzanas con grúas.</t>
  </si>
  <si>
    <t>Características de los métodos:</t>
  </si>
  <si>
    <t>Preparación</t>
  </si>
  <si>
    <t>Preguntas estímulo</t>
  </si>
  <si>
    <t>Logística</t>
  </si>
  <si>
    <t>Selección</t>
  </si>
  <si>
    <t>Participantes</t>
  </si>
  <si>
    <t>Moderadores</t>
  </si>
  <si>
    <t>Sitio</t>
  </si>
  <si>
    <t>Planificacion</t>
  </si>
  <si>
    <t>Establecer objetivos</t>
  </si>
  <si>
    <t>Diseño del monitoreo</t>
  </si>
  <si>
    <t>Desarrollo del cronograma</t>
  </si>
  <si>
    <t>Guía de grupo Focal</t>
  </si>
  <si>
    <t>Análisis de la información</t>
  </si>
  <si>
    <t>Desarrollo de la reunión</t>
  </si>
  <si>
    <t>Implementación</t>
  </si>
  <si>
    <t>Tipo de preguntas</t>
  </si>
  <si>
    <t>Duración recomendada</t>
  </si>
  <si>
    <t>1 ó 2 horas</t>
  </si>
  <si>
    <t>Número de preguntas</t>
  </si>
  <si>
    <t>No más de 12</t>
  </si>
  <si>
    <t>Abiertas, fáciles de entender, concretas y estimulantes, preguntas de comparación como dibujar ó clasificar, preguntar por atributos o influencias, de lo general a lo particular y preguntas de cierre</t>
  </si>
  <si>
    <t>Conducción</t>
  </si>
  <si>
    <t>PASOS A SEGUIR</t>
  </si>
  <si>
    <t>CARACTERÍSTICAS</t>
  </si>
  <si>
    <t>Punto de encuentro</t>
  </si>
  <si>
    <t>Personas/sesión</t>
  </si>
  <si>
    <t>People/session</t>
  </si>
  <si>
    <t>Tipos de Muestra</t>
  </si>
  <si>
    <t>Aleatoria</t>
  </si>
  <si>
    <t>Estratificada</t>
  </si>
  <si>
    <t>Conglomerado</t>
  </si>
  <si>
    <t>No probabilística</t>
  </si>
  <si>
    <t>Cuotas</t>
  </si>
  <si>
    <t>Por conveniencia</t>
  </si>
  <si>
    <t>Bola de nieve</t>
  </si>
  <si>
    <t>Stratified</t>
  </si>
  <si>
    <t>Conglomerate</t>
  </si>
  <si>
    <t>Non probabilistic</t>
  </si>
  <si>
    <t>Quotas</t>
  </si>
  <si>
    <t>Snowball</t>
  </si>
  <si>
    <t>Random</t>
  </si>
  <si>
    <t>By Convenience</t>
  </si>
  <si>
    <t>Tamaño de muestra</t>
  </si>
  <si>
    <t>RD</t>
  </si>
  <si>
    <t>ST</t>
  </si>
  <si>
    <t>CG</t>
  </si>
  <si>
    <t>NP</t>
  </si>
  <si>
    <t>QT</t>
  </si>
  <si>
    <t>SB</t>
  </si>
  <si>
    <t>CV</t>
  </si>
  <si>
    <t>QL</t>
  </si>
  <si>
    <t>SC</t>
  </si>
  <si>
    <t>GI</t>
  </si>
  <si>
    <t>SS</t>
  </si>
  <si>
    <t>CC</t>
  </si>
  <si>
    <t>OB</t>
  </si>
  <si>
    <t>LQ</t>
  </si>
  <si>
    <t>FC</t>
  </si>
  <si>
    <t>CS</t>
  </si>
  <si>
    <t>SM</t>
  </si>
  <si>
    <t>RI</t>
  </si>
  <si>
    <t>Single Interview</t>
  </si>
  <si>
    <t>Group Interview</t>
  </si>
  <si>
    <t>SI</t>
  </si>
  <si>
    <t>Observation</t>
  </si>
  <si>
    <t>Focal Group</t>
  </si>
  <si>
    <t>Comunitay Session</t>
  </si>
  <si>
    <t>Significative Change</t>
  </si>
  <si>
    <t>Social Mapping</t>
  </si>
  <si>
    <t>Registry Interpretation</t>
  </si>
  <si>
    <t>Sentinel Site</t>
  </si>
  <si>
    <t>ND</t>
  </si>
  <si>
    <t>Non defined</t>
  </si>
  <si>
    <t>No definida</t>
  </si>
  <si>
    <t>h</t>
  </si>
  <si>
    <t>m</t>
  </si>
  <si>
    <t>QA</t>
  </si>
  <si>
    <r>
      <rPr>
        <b/>
        <sz val="11"/>
        <color theme="1"/>
        <rFont val="Calibri"/>
        <family val="2"/>
        <scheme val="minor"/>
      </rPr>
      <t xml:space="preserve">Moderador </t>
    </r>
    <r>
      <rPr>
        <sz val="11"/>
        <color theme="1"/>
        <rFont val="Calibri"/>
        <family val="2"/>
        <scheme val="minor"/>
      </rPr>
      <t>- Sus responsabilidades son:
a. Mantener la discusión sobre un solo tema y ritmo.
b. Mantener la conversación
c. Establecer un ambiente de confianza.
Importante: eliminar barreras de comunicación, la neutralidad es vital.</t>
    </r>
  </si>
  <si>
    <r>
      <t>Probabilísticas o aleatorias:</t>
    </r>
    <r>
      <rPr>
        <sz val="9"/>
        <rFont val="Calibri"/>
        <family val="2"/>
        <scheme val="minor"/>
      </rPr>
      <t> cada una de las unidades de muestreo tiene una probabilidad conocida de ser incluida en la muestra.</t>
    </r>
  </si>
  <si>
    <r>
      <t>o </t>
    </r>
    <r>
      <rPr>
        <b/>
        <sz val="10"/>
        <rFont val="Calibri"/>
        <family val="2"/>
        <scheme val="minor"/>
      </rPr>
      <t>Aleatoria simple:</t>
    </r>
    <r>
      <rPr>
        <sz val="9"/>
        <rFont val="Calibri"/>
        <family val="2"/>
        <scheme val="minor"/>
      </rPr>
      <t> se «numeran» todos los integrantes de la población a estudiar y se extrae una muestra al azar. Esta forma de muestreo es la más simple pero en los hechos solo es aplicable cuando se trabaja con bases de datos suministradas por el cliente. Cuando la investigación es sobre poblaciones muy grandes se vuelve inaplicable (por ejemplo encuestas nacionales de opinión pública). Una variante de la muestra aleatoria simple es la aleatoria sistemática: se numeran todos los integrantes de la población, pero se elije uno solo al azar y todos los demás se definen según algún algoritmo (por ejemplo uno cada «n» elementos.</t>
    </r>
  </si>
  <si>
    <r>
      <t>o </t>
    </r>
    <r>
      <rPr>
        <b/>
        <sz val="10"/>
        <rFont val="Calibri"/>
        <family val="2"/>
        <scheme val="minor"/>
      </rPr>
      <t>Estratificada:</t>
    </r>
    <r>
      <rPr>
        <sz val="9"/>
        <rFont val="Calibri"/>
        <family val="2"/>
        <scheme val="minor"/>
      </rPr>
      <t> Consiste en considerar categorías típicas diferentes entre sí (estratos) que sean homogéneas respecto a alguna característica (por ejemplo según el tamaño de la localidad). Este tipo de muestreo permite asegurar de que todos los estratos de interés estarán representados adecuadamente en la muestra. Cada estrato funciona independientemente, pudiendo aplicarse dentro de ellos el muestreo aleatorio simple o el estratificado para elegir los elementos concretos que formarán parte de la muestra.</t>
    </r>
  </si>
  <si>
    <r>
      <t>o </t>
    </r>
    <r>
      <rPr>
        <b/>
        <sz val="10"/>
        <rFont val="Calibri"/>
        <family val="2"/>
        <scheme val="minor"/>
      </rPr>
      <t>Por conglomerados:</t>
    </r>
    <r>
      <rPr>
        <sz val="9"/>
        <rFont val="Calibri"/>
        <family val="2"/>
        <scheme val="minor"/>
      </rPr>
      <t> En lugar de seleccionar directamente los elementos de la población, la unidad muestral es un grupo de elementos de la población que forman una unidad, a la que llamamos conglomerado. Un ejemplo clásico son los circuitos electorales en una encuesta «boca de urna». Se selecciona aleatoriamente un cierto número de conglomerados y se investigan después todos los elementos pertenecientes a los conglomerados elegidos.</t>
    </r>
  </si>
  <si>
    <r>
      <t>No Probabilísticas:</t>
    </r>
    <r>
      <rPr>
        <sz val="9"/>
        <rFont val="Calibri"/>
        <family val="2"/>
        <scheme val="minor"/>
      </rPr>
      <t> se usan cuando no es posible apelar a las probabilísticas y tienen como limitación que no permiten el cálculo del error de muestreo.</t>
    </r>
  </si>
  <si>
    <r>
      <t>o </t>
    </r>
    <r>
      <rPr>
        <b/>
        <sz val="10"/>
        <rFont val="Calibri"/>
        <family val="2"/>
        <scheme val="minor"/>
      </rPr>
      <t>Muestreo por cuotas:</t>
    </r>
    <r>
      <rPr>
        <sz val="9"/>
        <rFont val="Calibri"/>
        <family val="2"/>
        <scheme val="minor"/>
      </rPr>
      <t> se basa generalmente en un buen conocimiento de los estratos de la población y/o de los individuos más «representativos» o «adecuados» para los fines de la investigación. Mantiene, por tanto, semejanzas con el muestreo aleatorio estratificado, pero no tiene el carácter de aleatoriedad de aquél. En este tipo de muestreo se fijan «cuotas» que consisten en un número de individuos que reúnen unas determinadas condiciones, por ejemplo: 20 individuos de 25 a 40 años, de sexo femenino y residentes en Montevideo. Una vez determinada la cuota se eligen los primeros que se encuentren que cumplan esas características.</t>
    </r>
  </si>
  <si>
    <r>
      <t>o </t>
    </r>
    <r>
      <rPr>
        <b/>
        <sz val="10"/>
        <rFont val="Calibri"/>
        <family val="2"/>
        <scheme val="minor"/>
      </rPr>
      <t>Muestreo de conveniencia:</t>
    </r>
    <r>
      <rPr>
        <sz val="9"/>
        <rFont val="Calibri"/>
        <family val="2"/>
        <scheme val="minor"/>
      </rPr>
      <t> Aquí se seleccionan directa e intencionadamente los individuos que integran la muestra, en función de la facilidad de acceder a ellos.</t>
    </r>
  </si>
  <si>
    <r>
      <t>o </t>
    </r>
    <r>
      <rPr>
        <b/>
        <sz val="10"/>
        <rFont val="Calibri"/>
        <family val="2"/>
        <scheme val="minor"/>
      </rPr>
      <t>Bola de nieve:</t>
    </r>
    <r>
      <rPr>
        <sz val="9"/>
        <rFont val="Calibri"/>
        <family val="2"/>
        <scheme val="minor"/>
      </rPr>
      <t> se localiza a algunos individuos, los cuales conducen a otros, y estos a otros, y así hasta conseguir una muestra suficiente. Este tipo se emplea muy frecuentemente cuando se hacen estudios con poblaciones marginales, de difícil acceso o cuyo número es demasiado pequeño para aplicar otras técnicas de muestreo. Por ejemplo: personas que padecen una determinada enfermedad, o que practican un determinado deporte, o clientes de productos muy selectivos.</t>
    </r>
  </si>
  <si>
    <t>Coincidental</t>
  </si>
  <si>
    <t>En Hogares</t>
  </si>
  <si>
    <t>Guía Auxiliar</t>
  </si>
  <si>
    <t>Intro</t>
  </si>
  <si>
    <t>G1</t>
  </si>
  <si>
    <t>G2</t>
  </si>
  <si>
    <t>G3</t>
  </si>
  <si>
    <t>G4</t>
  </si>
  <si>
    <t>G5</t>
  </si>
  <si>
    <t>G6</t>
  </si>
  <si>
    <t>G7</t>
  </si>
  <si>
    <t>G8</t>
  </si>
  <si>
    <t>G9</t>
  </si>
  <si>
    <t>G10</t>
  </si>
  <si>
    <t>Interrogante</t>
  </si>
  <si>
    <t>Donante</t>
  </si>
  <si>
    <t>a)</t>
  </si>
  <si>
    <t>b)</t>
  </si>
  <si>
    <t>c)</t>
  </si>
  <si>
    <t>d)</t>
  </si>
  <si>
    <t>e)</t>
  </si>
  <si>
    <t>Cambio mas significativo</t>
  </si>
  <si>
    <t>Telefónica</t>
  </si>
  <si>
    <t>Grupo</t>
  </si>
  <si>
    <t>PointsMax</t>
  </si>
  <si>
    <t>Points Step</t>
  </si>
  <si>
    <t>Select an option -&gt;</t>
  </si>
  <si>
    <t>Selecciona una opción -&gt;</t>
  </si>
  <si>
    <t>Tipo de medición*</t>
  </si>
  <si>
    <t>Metodología*</t>
  </si>
  <si>
    <t>Tipo de muestra*</t>
  </si>
  <si>
    <t>Código Proyecto*</t>
  </si>
  <si>
    <t>Código KPI*</t>
  </si>
  <si>
    <t>Missing values *</t>
  </si>
  <si>
    <t>Campos incompletos *</t>
  </si>
  <si>
    <t>Descripción del KPI</t>
  </si>
  <si>
    <t>KPI Description</t>
  </si>
  <si>
    <t>KPI Code*</t>
  </si>
  <si>
    <t>Measurement type*</t>
  </si>
  <si>
    <t>Methodology*</t>
  </si>
  <si>
    <t>Project Code*</t>
  </si>
  <si>
    <t>Sample kind*</t>
  </si>
  <si>
    <t>Mode</t>
  </si>
  <si>
    <t>Internet</t>
  </si>
  <si>
    <t>By Home</t>
  </si>
  <si>
    <t>Meeting point</t>
  </si>
  <si>
    <t>Telephone</t>
  </si>
  <si>
    <t>HM</t>
  </si>
  <si>
    <t>MP</t>
  </si>
  <si>
    <t>TP</t>
  </si>
  <si>
    <t>IT</t>
  </si>
  <si>
    <t>QST</t>
  </si>
  <si>
    <t>GRP</t>
  </si>
  <si>
    <t>Group</t>
  </si>
  <si>
    <t>Interrogante/Question</t>
  </si>
  <si>
    <t>Grupo/Group</t>
  </si>
  <si>
    <t>Answer</t>
  </si>
  <si>
    <t>QQ</t>
  </si>
  <si>
    <t>Mixed</t>
  </si>
  <si>
    <t>Ambas</t>
  </si>
  <si>
    <t>SV</t>
  </si>
  <si>
    <t>Survey</t>
  </si>
  <si>
    <t>Encuestas</t>
  </si>
  <si>
    <t>BSS</t>
  </si>
  <si>
    <t>MTS</t>
  </si>
  <si>
    <t>EPS</t>
  </si>
  <si>
    <t>Baseline</t>
  </si>
  <si>
    <t>Mid Term</t>
  </si>
  <si>
    <t>Línea Base</t>
  </si>
  <si>
    <t>Medio Término</t>
  </si>
  <si>
    <t>Final del Proyecto</t>
  </si>
  <si>
    <t>End of Project</t>
  </si>
  <si>
    <t>AOS</t>
  </si>
  <si>
    <t>TOS</t>
  </si>
  <si>
    <t>Annual Outcome</t>
  </si>
  <si>
    <t>Thematic Outcome</t>
  </si>
  <si>
    <t>Resultado Anual</t>
  </si>
  <si>
    <t>Resultado Temático</t>
  </si>
  <si>
    <t>Phase</t>
  </si>
  <si>
    <t>Etapa</t>
  </si>
  <si>
    <t>NDF</t>
  </si>
  <si>
    <t>Rene Antonio Casaña Amaya</t>
  </si>
  <si>
    <t>SAMPLE CALCULATOR</t>
  </si>
  <si>
    <t>Name</t>
  </si>
  <si>
    <t>Country</t>
  </si>
  <si>
    <t>Details</t>
  </si>
  <si>
    <t>Population Size</t>
  </si>
  <si>
    <t xml:space="preserve">Confidence level </t>
  </si>
  <si>
    <t xml:space="preserve">Calculated sample </t>
  </si>
  <si>
    <t xml:space="preserve">Validity </t>
  </si>
  <si>
    <t xml:space="preserve">Error margin </t>
  </si>
  <si>
    <t>Informative section</t>
  </si>
  <si>
    <t xml:space="preserve">       Desired Confidence                            Z-Score
                       80%                                   -               1.28
                       85%                                   -               1.44
                       90%                                   -               1.65
                       95%                                   -               1.96
                       99%                                   -               2.58</t>
  </si>
  <si>
    <r>
      <rPr>
        <b/>
        <sz val="7"/>
        <color theme="1"/>
        <rFont val="Calibri"/>
        <family val="2"/>
        <scheme val="minor"/>
      </rPr>
      <t xml:space="preserve">Population size - N  : </t>
    </r>
    <r>
      <rPr>
        <sz val="7"/>
        <color theme="1"/>
        <rFont val="Calibri"/>
        <family val="2"/>
        <scheme val="minor"/>
      </rPr>
      <t xml:space="preserve"> Population universe to sample
</t>
    </r>
    <r>
      <rPr>
        <b/>
        <sz val="7"/>
        <color theme="1"/>
        <rFont val="Calibri"/>
        <family val="2"/>
        <scheme val="minor"/>
      </rPr>
      <t>Sample - S :</t>
    </r>
    <r>
      <rPr>
        <sz val="7"/>
        <color theme="1"/>
        <rFont val="Calibri"/>
        <family val="2"/>
        <scheme val="minor"/>
      </rPr>
      <t xml:space="preserve"> is the part of the population that helps us to draw inferences about the population. Collecting research of the complete information about the population is not possible and it is time consuming and expensive. Thus, we need an appropriate sample size so that we can make inferences about the population based on that sample.
</t>
    </r>
    <r>
      <rPr>
        <b/>
        <sz val="7"/>
        <color theme="1"/>
        <rFont val="Calibri"/>
        <family val="2"/>
        <scheme val="minor"/>
      </rPr>
      <t>Validity - v  :</t>
    </r>
    <r>
      <rPr>
        <sz val="7"/>
        <color theme="1"/>
        <rFont val="Calibri"/>
        <family val="2"/>
        <scheme val="minor"/>
      </rPr>
      <t xml:space="preserve"> Percentage of the population that shares the relevant characteristics that we are looking for (50% is the default value), example: "40% of our population has suffered a traffic accident"
</t>
    </r>
    <r>
      <rPr>
        <b/>
        <sz val="7"/>
        <color theme="1"/>
        <rFont val="Calibri"/>
        <family val="2"/>
        <scheme val="minor"/>
      </rPr>
      <t>Error margin - e  :</t>
    </r>
    <r>
      <rPr>
        <sz val="7"/>
        <color theme="1"/>
        <rFont val="Calibri"/>
        <family val="2"/>
        <scheme val="minor"/>
      </rPr>
      <t xml:space="preserve">  Percentage of data that may be subject to bias or that may be erroneous due to other factors
</t>
    </r>
    <r>
      <rPr>
        <b/>
        <sz val="7"/>
        <color theme="1"/>
        <rFont val="Calibri"/>
        <family val="2"/>
        <scheme val="minor"/>
      </rPr>
      <t>Confidence level - z-score  :</t>
    </r>
    <r>
      <rPr>
        <sz val="7"/>
        <color theme="1"/>
        <rFont val="Calibri"/>
        <family val="2"/>
        <scheme val="minor"/>
      </rPr>
      <t xml:space="preserve">  The z-score is the number of standard deviations a given proportion is away from the mean. To find the right z-score to use, refer to the table on the left. </t>
    </r>
    <r>
      <rPr>
        <i/>
        <sz val="7"/>
        <color theme="1"/>
        <rFont val="Calibri"/>
        <family val="2"/>
        <scheme val="minor"/>
      </rPr>
      <t xml:space="preserve">(95% - 1.96 is the Industry standard)
</t>
    </r>
    <r>
      <rPr>
        <b/>
        <sz val="7"/>
        <color theme="1"/>
        <rFont val="Calibri"/>
        <family val="2"/>
        <scheme val="minor"/>
      </rPr>
      <t/>
    </r>
  </si>
  <si>
    <t xml:space="preserve">
Author: René A. Casaña - Monitoring and Evaluation
Find more tools or contribute to this project in the following link:</t>
  </si>
  <si>
    <t>https://github.com/reatcas/me-box</t>
  </si>
  <si>
    <t>STANDARD SAMPLES TABLE</t>
  </si>
  <si>
    <r>
      <rPr>
        <b/>
        <sz val="8"/>
        <color theme="1"/>
        <rFont val="Calibri"/>
        <family val="2"/>
        <scheme val="minor"/>
      </rPr>
      <t xml:space="preserve">One of the most frequent problems in statistical analysis is the determination of the appropriate sample size.
</t>
    </r>
    <r>
      <rPr>
        <sz val="8"/>
        <color theme="1"/>
        <rFont val="Calibri"/>
        <family val="2"/>
        <scheme val="minor"/>
      </rPr>
      <t xml:space="preserve">One may ask why sample size is so important. The answer to this is that an appropriate sample size is required for validity. If the sample size it too small, it will not yield valid results. An appropriate sample size can produce accuracy of results. Moreover, the results from the small sample size will be questionable. A sample size that is too large will result in wasting money and time. It is also unethical to choose too large a sample size. There is no certain rule of thumb to determine the sample size. Some researchers do, however, support a rule of thumb when using the sample size. For example, in regression analysis, many researchers say that there should be at least 10 observations per variable. If we are using three independent variables, then a clear rule would be to have a minimum sample size of 30. Some researchers follow a statistical formula to calculate the sample size. </t>
    </r>
    <r>
      <rPr>
        <sz val="6"/>
        <color rgb="FF0070C0"/>
        <rFont val="Calibri"/>
        <family val="2"/>
        <scheme val="minor"/>
      </rPr>
      <t>Source: https://www.statisticssolutions.com/sample-size-formula/</t>
    </r>
    <r>
      <rPr>
        <sz val="8"/>
        <color theme="1"/>
        <rFont val="Calibri"/>
        <family val="2"/>
        <scheme val="minor"/>
      </rPr>
      <t xml:space="preserve">
You can use this table in the case of not having data very well defined to calculate a personalized formula.
This table contains pre-calculated sample sizes with a validity level of 50%. Also, this table detects the initial values in the automatic tool above and highlights them if they're present in the matrix</t>
    </r>
  </si>
  <si>
    <t>Population size</t>
  </si>
  <si>
    <r>
      <t>Confidence level:</t>
    </r>
    <r>
      <rPr>
        <b/>
        <sz val="8"/>
        <color rgb="FF0070C0"/>
        <rFont val="Calibri"/>
        <family val="2"/>
        <scheme val="minor"/>
      </rPr>
      <t xml:space="preserve"> 95%</t>
    </r>
  </si>
  <si>
    <r>
      <t xml:space="preserve">Confidence level: </t>
    </r>
    <r>
      <rPr>
        <b/>
        <sz val="8"/>
        <color rgb="FF0070C0"/>
        <rFont val="Calibri"/>
        <family val="2"/>
        <scheme val="minor"/>
      </rPr>
      <t>99%</t>
    </r>
  </si>
  <si>
    <t>Error margin</t>
  </si>
  <si>
    <t>Author: René A. Casaña - Monitoring and Evaluation
Find more tools or contribute to this project in the following link:</t>
  </si>
  <si>
    <r>
      <rPr>
        <b/>
        <sz val="11"/>
        <color theme="1"/>
        <rFont val="Calibri"/>
        <family val="2"/>
        <scheme val="minor"/>
      </rPr>
      <t xml:space="preserve">
This is free and unencumbered software released into the public domain.</t>
    </r>
    <r>
      <rPr>
        <sz val="11"/>
        <color theme="1"/>
        <rFont val="Calibri"/>
        <family val="2"/>
        <scheme val="minor"/>
      </rPr>
      <t xml:space="preserve">
Anyone is free to copy, modify, publish, use, compile, sell, or
distribute this software, either in source code form or as a compiled
binary, for any purpose, commercial or non-commercial, and by any
means.
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
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
For more information, please refer to:</t>
    </r>
  </si>
  <si>
    <t>http://unlicense.org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</si>
</sst>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2" formatCode="[$-F800]dddd\,\ mmmm\ dd\,\ yyyy"/>
    <numFmt numFmtId="173" formatCode="0.0%"/>
  </numFmts>
  <fonts count="37"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6"/>
      <color theme="1"/>
      <name val="Calibri"/>
      <family val="2"/>
      <scheme val="minor"/>
    </font>
    <font>
      <b/>
      <sz val="10"/>
      <color theme="1"/>
      <name val="Calibri"/>
      <family val="2"/>
      <scheme val="minor"/>
    </font>
    <font>
      <b/>
      <sz val="9"/>
      <color theme="1"/>
      <name val="Calibri"/>
      <family val="2"/>
      <scheme val="minor"/>
    </font>
    <font>
      <b/>
      <sz val="8"/>
      <color theme="1"/>
      <name val="Calibri"/>
      <family val="2"/>
      <scheme val="minor"/>
    </font>
    <font>
      <sz val="10"/>
      <color theme="1"/>
      <name val="Calibri"/>
      <family val="2"/>
      <scheme val="minor"/>
    </font>
    <font>
      <sz val="9"/>
      <color theme="1"/>
      <name val="Calibri"/>
      <family val="2"/>
      <scheme val="minor"/>
    </font>
    <font>
      <sz val="20"/>
      <color theme="1"/>
      <name val="Calibri"/>
      <family val="2"/>
      <scheme val="minor"/>
    </font>
    <font>
      <sz val="8"/>
      <color theme="0"/>
      <name val="Calibri"/>
      <family val="2"/>
      <scheme val="minor"/>
    </font>
    <font>
      <sz val="8"/>
      <color theme="1"/>
      <name val="Calibri"/>
      <family val="2"/>
      <scheme val="minor"/>
    </font>
    <font>
      <b/>
      <sz val="8"/>
      <name val="Calibri"/>
      <family val="2"/>
      <scheme val="minor"/>
    </font>
    <font>
      <b/>
      <sz val="8"/>
      <color rgb="FF0070C0"/>
      <name val="Calibri"/>
      <family val="2"/>
      <scheme val="minor"/>
    </font>
    <font>
      <sz val="9"/>
      <color theme="0"/>
      <name val="Calibri"/>
      <family val="2"/>
      <scheme val="minor"/>
    </font>
    <font>
      <b/>
      <sz val="9"/>
      <name val="Calibri"/>
      <family val="2"/>
      <scheme val="minor"/>
    </font>
    <font>
      <b/>
      <sz val="10"/>
      <name val="Calibri"/>
      <family val="2"/>
      <scheme val="minor"/>
    </font>
    <font>
      <b/>
      <sz val="14"/>
      <name val="Calibri"/>
      <family val="2"/>
      <scheme val="minor"/>
    </font>
    <font>
      <sz val="9"/>
      <name val="Calibri"/>
      <family val="2"/>
      <scheme val="minor"/>
    </font>
    <font>
      <sz val="8"/>
      <name val="Calibri"/>
      <family val="2"/>
      <scheme val="minor"/>
    </font>
    <font>
      <sz val="7"/>
      <color theme="1"/>
      <name val="Calibri"/>
      <family val="2"/>
      <scheme val="minor"/>
    </font>
    <font>
      <sz val="8"/>
      <color theme="1" tint="0.499984740745262"/>
      <name val="Calibri"/>
      <family val="2"/>
      <scheme val="minor"/>
    </font>
    <font>
      <sz val="10"/>
      <name val="Calibri"/>
      <family val="2"/>
      <scheme val="minor"/>
    </font>
    <font>
      <sz val="10"/>
      <color theme="1" tint="0.499984740745262"/>
      <name val="Calibri"/>
      <family val="2"/>
      <scheme val="minor"/>
    </font>
    <font>
      <sz val="7"/>
      <name val="Calibri"/>
      <family val="2"/>
      <scheme val="minor"/>
    </font>
    <font>
      <sz val="7"/>
      <color theme="1" tint="0.499984740745262"/>
      <name val="Calibri"/>
      <family val="2"/>
      <scheme val="minor"/>
    </font>
    <font>
      <b/>
      <sz val="7"/>
      <color theme="1"/>
      <name val="Calibri"/>
      <family val="2"/>
      <scheme val="minor"/>
    </font>
    <font>
      <i/>
      <sz val="7"/>
      <color theme="1"/>
      <name val="Calibri"/>
      <family val="2"/>
      <scheme val="minor"/>
    </font>
    <font>
      <sz val="7"/>
      <color theme="0" tint="-0.499984740745262"/>
      <name val="Calibri"/>
      <family val="2"/>
      <scheme val="minor"/>
    </font>
    <font>
      <b/>
      <sz val="7"/>
      <color rgb="FF0070C0"/>
      <name val="Calibri"/>
      <family val="2"/>
      <scheme val="minor"/>
    </font>
    <font>
      <sz val="7"/>
      <color rgb="FF0070C0"/>
      <name val="Calibri"/>
      <family val="2"/>
      <scheme val="minor"/>
    </font>
    <font>
      <sz val="6"/>
      <color rgb="FF0070C0"/>
      <name val="Calibri"/>
      <family val="2"/>
      <scheme val="minor"/>
    </font>
    <font>
      <u/>
      <sz val="11"/>
      <color theme="10"/>
      <name val="Calibri"/>
      <family val="2"/>
      <scheme val="minor"/>
    </font>
    <font>
      <u/>
      <sz val="7"/>
      <color theme="10"/>
      <name val="Calibri"/>
      <family val="2"/>
      <scheme val="minor"/>
    </font>
    <font>
      <sz val="14"/>
      <name val="Calibri"/>
      <family val="2"/>
      <scheme val="minor"/>
    </font>
    <font>
      <u/>
      <sz val="8"/>
      <color theme="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1" tint="0.249977111117893"/>
        <bgColor indexed="64"/>
      </patternFill>
    </fill>
  </fills>
  <borders count="48">
    <border>
      <left/>
      <right/>
      <top/>
      <bottom/>
      <diagonal/>
    </border>
    <border>
      <left/>
      <right/>
      <top/>
      <bottom style="medium">
        <color indexed="64"/>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bottom style="hair">
        <color indexed="64"/>
      </bottom>
      <diagonal/>
    </border>
    <border>
      <left style="hair">
        <color indexed="64"/>
      </left>
      <right/>
      <top style="hair">
        <color indexed="64"/>
      </top>
      <bottom style="medium">
        <color indexed="64"/>
      </bottom>
      <diagonal/>
    </border>
    <border>
      <left/>
      <right style="hair">
        <color indexed="64"/>
      </right>
      <top style="medium">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medium">
        <color indexed="64"/>
      </top>
      <bottom style="hair">
        <color indexed="64"/>
      </bottom>
      <diagonal/>
    </border>
    <border>
      <left style="hair">
        <color indexed="64"/>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thin">
        <color indexed="64"/>
      </top>
      <bottom style="thin">
        <color indexed="64"/>
      </bottom>
      <diagonal/>
    </border>
    <border>
      <left style="hair">
        <color indexed="64"/>
      </left>
      <right style="hair">
        <color indexed="64"/>
      </right>
      <top/>
      <bottom style="medium">
        <color indexed="64"/>
      </bottom>
      <diagonal/>
    </border>
    <border>
      <left/>
      <right/>
      <top/>
      <bottom style="double">
        <color indexed="64"/>
      </bottom>
      <diagonal/>
    </border>
    <border>
      <left style="hair">
        <color indexed="64"/>
      </left>
      <right/>
      <top/>
      <bottom style="medium">
        <color indexed="64"/>
      </bottom>
      <diagonal/>
    </border>
    <border>
      <left/>
      <right/>
      <top style="medium">
        <color indexed="64"/>
      </top>
      <bottom/>
      <diagonal/>
    </border>
    <border>
      <left style="hair">
        <color indexed="64"/>
      </left>
      <right/>
      <top style="thin">
        <color indexed="64"/>
      </top>
      <bottom style="thin">
        <color indexed="64"/>
      </bottom>
      <diagonal/>
    </border>
    <border>
      <left/>
      <right/>
      <top/>
      <bottom style="thin">
        <color indexed="64"/>
      </bottom>
      <diagonal/>
    </border>
    <border>
      <left style="hair">
        <color indexed="64"/>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double">
        <color indexed="64"/>
      </bottom>
      <diagonal/>
    </border>
    <border>
      <left style="medium">
        <color indexed="64"/>
      </left>
      <right/>
      <top/>
      <bottom/>
      <diagonal/>
    </border>
    <border>
      <left style="thin">
        <color indexed="64"/>
      </left>
      <right/>
      <top/>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3" fillId="0" borderId="0" applyNumberFormat="0" applyFill="0" applyBorder="0" applyAlignment="0" applyProtection="0"/>
  </cellStyleXfs>
  <cellXfs count="213">
    <xf numFmtId="0" fontId="0" fillId="0" borderId="0" xfId="0"/>
    <xf numFmtId="0" fontId="0" fillId="0" borderId="1" xfId="0" applyBorder="1"/>
    <xf numFmtId="0" fontId="3" fillId="0" borderId="1" xfId="0" applyFont="1" applyBorder="1"/>
    <xf numFmtId="0" fontId="0" fillId="0" borderId="0" xfId="0" applyBorder="1"/>
    <xf numFmtId="0" fontId="0" fillId="0" borderId="0" xfId="0" applyFont="1"/>
    <xf numFmtId="0" fontId="0" fillId="0" borderId="0" xfId="0" applyAlignment="1">
      <alignment horizontal="center" vertical="center"/>
    </xf>
    <xf numFmtId="0" fontId="2" fillId="0" borderId="0" xfId="0" applyFont="1"/>
    <xf numFmtId="0" fontId="3" fillId="0" borderId="21" xfId="0" applyFont="1" applyBorder="1" applyAlignment="1">
      <alignment horizontal="left" vertical="center"/>
    </xf>
    <xf numFmtId="0" fontId="10" fillId="0" borderId="1" xfId="0" applyFont="1" applyBorder="1"/>
    <xf numFmtId="0" fontId="4" fillId="0" borderId="0" xfId="0" applyFont="1"/>
    <xf numFmtId="0" fontId="0" fillId="0" borderId="0" xfId="0" applyAlignment="1">
      <alignment wrapText="1"/>
    </xf>
    <xf numFmtId="0" fontId="3" fillId="0" borderId="3" xfId="0" applyFont="1" applyBorder="1"/>
    <xf numFmtId="0" fontId="0" fillId="4" borderId="0" xfId="0" applyFill="1" applyAlignment="1">
      <alignment horizontal="center" vertical="center"/>
    </xf>
    <xf numFmtId="0" fontId="0" fillId="5" borderId="0" xfId="0" applyFill="1" applyAlignment="1">
      <alignment horizontal="center" vertical="center"/>
    </xf>
    <xf numFmtId="0" fontId="9" fillId="0" borderId="0" xfId="0" applyFont="1"/>
    <xf numFmtId="0" fontId="0" fillId="0" borderId="1" xfId="0" applyFont="1" applyBorder="1"/>
    <xf numFmtId="0" fontId="19" fillId="0" borderId="0" xfId="0" applyFont="1" applyBorder="1"/>
    <xf numFmtId="0" fontId="19" fillId="0" borderId="0" xfId="0" applyFont="1"/>
    <xf numFmtId="0" fontId="3" fillId="0" borderId="1" xfId="0" applyFont="1" applyBorder="1" applyAlignment="1" applyProtection="1">
      <alignment horizontal="left"/>
      <protection hidden="1"/>
    </xf>
    <xf numFmtId="0" fontId="0" fillId="0" borderId="19" xfId="0" applyFont="1" applyBorder="1" applyAlignment="1">
      <alignment horizontal="left" vertical="center" wrapText="1"/>
    </xf>
    <xf numFmtId="0" fontId="0" fillId="0" borderId="18" xfId="0" applyFont="1" applyBorder="1" applyAlignment="1">
      <alignment horizontal="left" vertical="center" wrapText="1"/>
    </xf>
    <xf numFmtId="0" fontId="0" fillId="0" borderId="0" xfId="0" applyFont="1" applyAlignment="1">
      <alignment horizontal="left" indent="1"/>
    </xf>
    <xf numFmtId="0" fontId="0" fillId="0" borderId="3" xfId="0" applyFont="1" applyBorder="1"/>
    <xf numFmtId="0" fontId="17" fillId="0" borderId="16" xfId="0" applyFont="1" applyBorder="1" applyAlignment="1">
      <alignment horizontal="left" vertical="center" wrapText="1"/>
    </xf>
    <xf numFmtId="0" fontId="19" fillId="0" borderId="0" xfId="0" applyFont="1" applyAlignment="1">
      <alignment horizontal="left" vertical="center" wrapText="1"/>
    </xf>
    <xf numFmtId="0" fontId="17" fillId="0" borderId="0" xfId="0" applyFont="1" applyAlignment="1">
      <alignment horizontal="left" vertical="center" wrapText="1"/>
    </xf>
    <xf numFmtId="0" fontId="0" fillId="0" borderId="3" xfId="0" applyFont="1" applyBorder="1" applyAlignment="1">
      <alignment horizontal="left" vertical="center" wrapText="1"/>
    </xf>
    <xf numFmtId="0" fontId="0" fillId="0" borderId="3" xfId="0" applyFont="1" applyBorder="1" applyAlignment="1">
      <alignment horizontal="left" vertical="center"/>
    </xf>
    <xf numFmtId="0" fontId="2" fillId="0" borderId="12" xfId="0" applyFont="1" applyBorder="1" applyAlignment="1">
      <alignment horizontal="right" vertical="center"/>
    </xf>
    <xf numFmtId="0" fontId="2" fillId="0" borderId="4" xfId="0" applyFont="1" applyBorder="1" applyAlignment="1">
      <alignment horizontal="right" vertical="center"/>
    </xf>
    <xf numFmtId="0" fontId="19" fillId="0" borderId="10" xfId="0" applyFont="1" applyBorder="1" applyAlignment="1">
      <alignment horizontal="left"/>
    </xf>
    <xf numFmtId="0" fontId="19" fillId="0" borderId="11" xfId="0" applyFont="1" applyBorder="1" applyAlignment="1">
      <alignment horizontal="left"/>
    </xf>
    <xf numFmtId="0" fontId="9" fillId="3" borderId="20" xfId="0" applyFont="1" applyFill="1" applyBorder="1" applyAlignment="1">
      <alignment horizontal="center" vertical="top"/>
    </xf>
    <xf numFmtId="0" fontId="6" fillId="3" borderId="26" xfId="0" applyFont="1" applyFill="1" applyBorder="1" applyAlignment="1">
      <alignment horizontal="left" vertical="center"/>
    </xf>
    <xf numFmtId="0" fontId="15" fillId="6" borderId="0" xfId="0" applyFont="1" applyFill="1" applyBorder="1" applyAlignment="1">
      <alignment horizontal="center" vertical="center"/>
    </xf>
    <xf numFmtId="0" fontId="9" fillId="3" borderId="26" xfId="0" applyFont="1" applyFill="1" applyBorder="1" applyAlignment="1">
      <alignment horizontal="center" vertical="top"/>
    </xf>
    <xf numFmtId="0" fontId="15" fillId="6" borderId="0" xfId="0" applyFont="1" applyFill="1" applyBorder="1" applyAlignment="1">
      <alignment horizontal="left" vertical="center"/>
    </xf>
    <xf numFmtId="0" fontId="15" fillId="6" borderId="24" xfId="0" applyFont="1" applyFill="1" applyBorder="1" applyAlignment="1">
      <alignment horizontal="center" vertical="center"/>
    </xf>
    <xf numFmtId="0" fontId="15" fillId="6" borderId="24" xfId="0" applyFont="1" applyFill="1" applyBorder="1" applyAlignment="1">
      <alignment horizontal="left" vertical="center"/>
    </xf>
    <xf numFmtId="0" fontId="6" fillId="3" borderId="20" xfId="0" applyFont="1" applyFill="1" applyBorder="1" applyAlignment="1">
      <alignment horizontal="left" vertical="center" wrapText="1"/>
    </xf>
    <xf numFmtId="0" fontId="9" fillId="0" borderId="0" xfId="0" applyFont="1" applyAlignment="1">
      <alignment vertical="top"/>
    </xf>
    <xf numFmtId="0" fontId="19" fillId="3" borderId="3" xfId="0" applyFont="1" applyFill="1" applyBorder="1" applyAlignment="1">
      <alignment horizontal="left"/>
    </xf>
    <xf numFmtId="0" fontId="19" fillId="2" borderId="7" xfId="0" applyFont="1" applyFill="1" applyBorder="1" applyAlignment="1">
      <alignment horizontal="left"/>
    </xf>
    <xf numFmtId="0" fontId="19" fillId="2" borderId="3" xfId="0" applyFont="1" applyFill="1" applyBorder="1" applyAlignment="1">
      <alignment horizontal="left"/>
    </xf>
    <xf numFmtId="0" fontId="18" fillId="2" borderId="1" xfId="0" applyFont="1" applyFill="1" applyBorder="1" applyAlignment="1" applyProtection="1">
      <alignment horizontal="right"/>
      <protection hidden="1"/>
    </xf>
    <xf numFmtId="0" fontId="16" fillId="2" borderId="0" xfId="0" applyFont="1" applyFill="1" applyBorder="1"/>
    <xf numFmtId="0" fontId="19" fillId="2" borderId="0" xfId="0" applyFont="1" applyFill="1" applyBorder="1"/>
    <xf numFmtId="0" fontId="19" fillId="2" borderId="13" xfId="0" applyFont="1" applyFill="1" applyBorder="1" applyAlignment="1" applyProtection="1">
      <alignment horizontal="right"/>
      <protection hidden="1"/>
    </xf>
    <xf numFmtId="0" fontId="19" fillId="2" borderId="9" xfId="0" applyFont="1" applyFill="1" applyBorder="1" applyAlignment="1" applyProtection="1">
      <alignment horizontal="right"/>
      <protection hidden="1"/>
    </xf>
    <xf numFmtId="0" fontId="19" fillId="2" borderId="6" xfId="0" applyFont="1" applyFill="1" applyBorder="1" applyAlignment="1">
      <alignment horizontal="left"/>
    </xf>
    <xf numFmtId="0" fontId="19" fillId="2" borderId="13" xfId="0" applyFont="1" applyFill="1" applyBorder="1" applyAlignment="1">
      <alignment horizontal="left"/>
    </xf>
    <xf numFmtId="0" fontId="19" fillId="2" borderId="0" xfId="0" applyFont="1" applyFill="1"/>
    <xf numFmtId="0" fontId="16" fillId="2" borderId="3" xfId="0" applyFont="1" applyFill="1" applyBorder="1" applyAlignment="1" applyProtection="1">
      <alignment horizontal="right"/>
      <protection hidden="1"/>
    </xf>
    <xf numFmtId="0" fontId="16" fillId="2" borderId="4" xfId="0" applyFont="1" applyFill="1" applyBorder="1" applyAlignment="1" applyProtection="1">
      <alignment horizontal="right"/>
      <protection hidden="1"/>
    </xf>
    <xf numFmtId="0" fontId="19" fillId="2" borderId="7" xfId="0" applyFont="1" applyFill="1" applyBorder="1" applyAlignment="1">
      <alignment horizontal="left" vertical="center"/>
    </xf>
    <xf numFmtId="0" fontId="19" fillId="2" borderId="3" xfId="0" applyFont="1" applyFill="1" applyBorder="1" applyAlignment="1">
      <alignment horizontal="left" vertical="center"/>
    </xf>
    <xf numFmtId="0" fontId="16" fillId="2" borderId="0" xfId="0" applyFont="1" applyFill="1" applyBorder="1" applyAlignment="1" applyProtection="1">
      <alignment horizontal="right"/>
      <protection hidden="1"/>
    </xf>
    <xf numFmtId="0" fontId="16" fillId="2" borderId="2" xfId="0" applyFont="1" applyFill="1" applyBorder="1" applyAlignment="1" applyProtection="1">
      <alignment horizontal="right"/>
      <protection hidden="1"/>
    </xf>
    <xf numFmtId="0" fontId="19" fillId="2" borderId="0" xfId="0" applyFont="1" applyFill="1" applyBorder="1" applyAlignment="1">
      <alignment horizontal="right"/>
    </xf>
    <xf numFmtId="0" fontId="19" fillId="2" borderId="0" xfId="0" applyFont="1" applyFill="1" applyBorder="1" applyAlignment="1">
      <alignment vertical="center"/>
    </xf>
    <xf numFmtId="0" fontId="19" fillId="2" borderId="0" xfId="0" applyFont="1" applyFill="1" applyBorder="1" applyAlignment="1">
      <alignment horizontal="left" vertical="center" indent="1"/>
    </xf>
    <xf numFmtId="0" fontId="19" fillId="2" borderId="1" xfId="0" applyFont="1" applyFill="1" applyBorder="1"/>
    <xf numFmtId="0" fontId="9" fillId="2" borderId="1" xfId="0" applyFont="1" applyFill="1" applyBorder="1"/>
    <xf numFmtId="0" fontId="9" fillId="2" borderId="3" xfId="0" applyFont="1" applyFill="1" applyBorder="1" applyAlignment="1">
      <alignment horizontal="left" vertical="top" wrapText="1"/>
    </xf>
    <xf numFmtId="0" fontId="9" fillId="2" borderId="0" xfId="0" applyFont="1" applyFill="1" applyBorder="1" applyAlignment="1">
      <alignment horizontal="left" vertical="top" wrapText="1"/>
    </xf>
    <xf numFmtId="0" fontId="9" fillId="2" borderId="3" xfId="0" applyFont="1" applyFill="1" applyBorder="1" applyAlignment="1">
      <alignment horizontal="left" vertical="center" wrapText="1"/>
    </xf>
    <xf numFmtId="0" fontId="9" fillId="2" borderId="3" xfId="0" applyFont="1" applyFill="1" applyBorder="1" applyAlignment="1">
      <alignment horizontal="left" vertical="top"/>
    </xf>
    <xf numFmtId="0" fontId="9" fillId="2" borderId="11" xfId="0" applyFont="1" applyFill="1" applyBorder="1" applyAlignment="1">
      <alignment horizontal="left" vertical="center" wrapText="1"/>
    </xf>
    <xf numFmtId="0" fontId="9" fillId="2" borderId="11" xfId="0" applyFont="1" applyFill="1" applyBorder="1" applyAlignment="1">
      <alignment horizontal="left" vertical="top"/>
    </xf>
    <xf numFmtId="0" fontId="0" fillId="0" borderId="1" xfId="0" applyBorder="1" applyAlignment="1">
      <alignment horizontal="center" vertical="center"/>
    </xf>
    <xf numFmtId="0" fontId="0" fillId="4" borderId="1" xfId="0" applyFill="1" applyBorder="1" applyAlignment="1">
      <alignment horizontal="center" vertical="center"/>
    </xf>
    <xf numFmtId="0" fontId="19" fillId="2" borderId="0" xfId="0" applyFont="1" applyFill="1" applyBorder="1" applyAlignment="1">
      <alignment horizontal="center" vertical="top"/>
    </xf>
    <xf numFmtId="0" fontId="19" fillId="2" borderId="15" xfId="0" applyFont="1" applyFill="1" applyBorder="1" applyAlignment="1">
      <alignment horizontal="center" vertical="center"/>
    </xf>
    <xf numFmtId="0" fontId="19" fillId="2" borderId="16" xfId="0" applyFont="1" applyFill="1" applyBorder="1" applyAlignment="1">
      <alignment horizontal="center" vertical="center"/>
    </xf>
    <xf numFmtId="0" fontId="19" fillId="2" borderId="15" xfId="0" applyFont="1" applyFill="1" applyBorder="1" applyAlignment="1">
      <alignment horizontal="left" vertical="center"/>
    </xf>
    <xf numFmtId="0" fontId="19" fillId="2" borderId="16" xfId="0" applyFont="1" applyFill="1" applyBorder="1" applyAlignment="1">
      <alignment horizontal="left" vertical="center"/>
    </xf>
    <xf numFmtId="14" fontId="19" fillId="2" borderId="10" xfId="0" applyNumberFormat="1" applyFont="1" applyFill="1" applyBorder="1" applyAlignment="1">
      <alignment horizontal="left"/>
    </xf>
    <xf numFmtId="14" fontId="19" fillId="2" borderId="11" xfId="0" applyNumberFormat="1" applyFont="1" applyFill="1" applyBorder="1" applyAlignment="1">
      <alignment horizontal="left"/>
    </xf>
    <xf numFmtId="0" fontId="19" fillId="2" borderId="10" xfId="0" applyFont="1" applyFill="1" applyBorder="1" applyAlignment="1">
      <alignment horizontal="left"/>
    </xf>
    <xf numFmtId="0" fontId="19" fillId="2" borderId="11" xfId="0" applyFont="1" applyFill="1" applyBorder="1" applyAlignment="1">
      <alignment horizontal="left"/>
    </xf>
    <xf numFmtId="0" fontId="16" fillId="2" borderId="11" xfId="0" applyFont="1" applyFill="1" applyBorder="1" applyAlignment="1" applyProtection="1">
      <alignment horizontal="right"/>
      <protection hidden="1"/>
    </xf>
    <xf numFmtId="0" fontId="16" fillId="2" borderId="12" xfId="0" applyFont="1" applyFill="1" applyBorder="1" applyAlignment="1" applyProtection="1">
      <alignment horizontal="right"/>
      <protection hidden="1"/>
    </xf>
    <xf numFmtId="0" fontId="16" fillId="2" borderId="19" xfId="0" applyFont="1" applyFill="1" applyBorder="1" applyAlignment="1">
      <alignment horizontal="left" vertical="center"/>
    </xf>
    <xf numFmtId="0" fontId="16" fillId="2" borderId="10" xfId="0" applyFont="1" applyFill="1" applyBorder="1" applyAlignment="1">
      <alignment horizontal="left" vertical="center"/>
    </xf>
    <xf numFmtId="0" fontId="16" fillId="3" borderId="23" xfId="0" applyFont="1" applyFill="1" applyBorder="1" applyAlignment="1">
      <alignment horizontal="left"/>
    </xf>
    <xf numFmtId="0" fontId="16" fillId="3" borderId="8" xfId="0" applyFont="1" applyFill="1" applyBorder="1" applyAlignment="1">
      <alignment horizontal="left"/>
    </xf>
    <xf numFmtId="0" fontId="16" fillId="3" borderId="10" xfId="0" applyNumberFormat="1" applyFont="1" applyFill="1" applyBorder="1" applyAlignment="1">
      <alignment horizontal="left"/>
    </xf>
    <xf numFmtId="0" fontId="16" fillId="3" borderId="11" xfId="0" applyNumberFormat="1" applyFont="1" applyFill="1" applyBorder="1" applyAlignment="1">
      <alignment horizontal="left"/>
    </xf>
    <xf numFmtId="0" fontId="16" fillId="2" borderId="16" xfId="0" applyFont="1" applyFill="1" applyBorder="1" applyAlignment="1" applyProtection="1">
      <alignment horizontal="right"/>
      <protection hidden="1"/>
    </xf>
    <xf numFmtId="0" fontId="16" fillId="2" borderId="17" xfId="0" applyFont="1" applyFill="1" applyBorder="1" applyAlignment="1" applyProtection="1">
      <alignment horizontal="right"/>
      <protection hidden="1"/>
    </xf>
    <xf numFmtId="0" fontId="16" fillId="0" borderId="8" xfId="0" applyFont="1" applyFill="1" applyBorder="1" applyAlignment="1">
      <alignment horizontal="left"/>
    </xf>
    <xf numFmtId="0" fontId="0" fillId="0" borderId="0" xfId="0" applyBorder="1" applyAlignment="1">
      <alignment horizontal="center" vertical="center"/>
    </xf>
    <xf numFmtId="0" fontId="16" fillId="2" borderId="0" xfId="0" applyFont="1" applyFill="1" applyBorder="1" applyAlignment="1" applyProtection="1">
      <alignment horizontal="right" vertical="top"/>
      <protection hidden="1"/>
    </xf>
    <xf numFmtId="0" fontId="16" fillId="2" borderId="0" xfId="0" applyFont="1" applyFill="1" applyBorder="1" applyAlignment="1" applyProtection="1">
      <alignment horizontal="right"/>
      <protection hidden="1"/>
    </xf>
    <xf numFmtId="0" fontId="16" fillId="3" borderId="10" xfId="0" applyFont="1" applyFill="1" applyBorder="1" applyAlignment="1">
      <alignment horizontal="left"/>
    </xf>
    <xf numFmtId="0" fontId="16" fillId="3" borderId="11" xfId="0" applyFont="1" applyFill="1" applyBorder="1" applyAlignment="1">
      <alignment horizontal="left"/>
    </xf>
    <xf numFmtId="0" fontId="19" fillId="3" borderId="10" xfId="0" applyFont="1" applyFill="1" applyBorder="1" applyAlignment="1" applyProtection="1">
      <alignment horizontal="left"/>
      <protection hidden="1"/>
    </xf>
    <xf numFmtId="0" fontId="19" fillId="3" borderId="11" xfId="0" applyFont="1" applyFill="1" applyBorder="1" applyAlignment="1" applyProtection="1">
      <alignment horizontal="left"/>
      <protection hidden="1"/>
    </xf>
    <xf numFmtId="0" fontId="19" fillId="3" borderId="12" xfId="0" applyFont="1" applyFill="1" applyBorder="1" applyAlignment="1" applyProtection="1">
      <alignment horizontal="left"/>
      <protection hidden="1"/>
    </xf>
    <xf numFmtId="0" fontId="19" fillId="0" borderId="10" xfId="0" applyFont="1" applyFill="1" applyBorder="1" applyAlignment="1" applyProtection="1">
      <alignment horizontal="left"/>
      <protection hidden="1"/>
    </xf>
    <xf numFmtId="0" fontId="19" fillId="0" borderId="11" xfId="0" applyFont="1" applyFill="1" applyBorder="1" applyAlignment="1" applyProtection="1">
      <alignment horizontal="left"/>
      <protection hidden="1"/>
    </xf>
    <xf numFmtId="0" fontId="19" fillId="0" borderId="12" xfId="0" applyFont="1" applyFill="1" applyBorder="1" applyAlignment="1" applyProtection="1">
      <alignment horizontal="left"/>
      <protection hidden="1"/>
    </xf>
    <xf numFmtId="0" fontId="16" fillId="2" borderId="11" xfId="0" applyFont="1" applyFill="1" applyBorder="1" applyAlignment="1" applyProtection="1">
      <alignment horizontal="right" vertical="top"/>
      <protection hidden="1"/>
    </xf>
    <xf numFmtId="0" fontId="16" fillId="2" borderId="12" xfId="0" applyFont="1" applyFill="1" applyBorder="1" applyAlignment="1" applyProtection="1">
      <alignment horizontal="right" vertical="top"/>
      <protection hidden="1"/>
    </xf>
    <xf numFmtId="0" fontId="19" fillId="2" borderId="10" xfId="0" applyFont="1" applyFill="1" applyBorder="1" applyAlignment="1">
      <alignment horizontal="center" vertical="top"/>
    </xf>
    <xf numFmtId="0" fontId="19" fillId="2" borderId="11" xfId="0" applyFont="1" applyFill="1" applyBorder="1" applyAlignment="1">
      <alignment horizontal="center" vertical="top"/>
    </xf>
    <xf numFmtId="0" fontId="0" fillId="0" borderId="0" xfId="0" applyAlignment="1">
      <alignment horizontal="center" vertical="center" wrapText="1"/>
    </xf>
    <xf numFmtId="0" fontId="11" fillId="0" borderId="0" xfId="0" applyFont="1" applyProtection="1">
      <protection hidden="1"/>
    </xf>
    <xf numFmtId="0" fontId="12" fillId="0" borderId="0" xfId="0" applyFont="1" applyProtection="1">
      <protection hidden="1"/>
    </xf>
    <xf numFmtId="0" fontId="21" fillId="0" borderId="1" xfId="0" applyFont="1" applyBorder="1" applyAlignment="1" applyProtection="1">
      <alignment horizontal="right"/>
      <protection hidden="1"/>
    </xf>
    <xf numFmtId="0" fontId="8" fillId="0" borderId="0" xfId="0" applyFont="1" applyAlignment="1" applyProtection="1">
      <alignment horizontal="right"/>
      <protection hidden="1"/>
    </xf>
    <xf numFmtId="0" fontId="8" fillId="0" borderId="0" xfId="0" applyFont="1" applyProtection="1">
      <protection hidden="1"/>
    </xf>
    <xf numFmtId="0" fontId="22" fillId="0" borderId="0" xfId="0" applyFont="1" applyAlignment="1" applyProtection="1">
      <alignment horizontal="right" vertical="top" wrapText="1"/>
      <protection hidden="1"/>
    </xf>
    <xf numFmtId="9" fontId="12" fillId="0" borderId="0" xfId="1" applyFont="1" applyBorder="1" applyAlignment="1" applyProtection="1">
      <alignment horizontal="left"/>
      <protection hidden="1"/>
    </xf>
    <xf numFmtId="2" fontId="12" fillId="0" borderId="0" xfId="0" applyNumberFormat="1" applyFont="1" applyProtection="1">
      <protection hidden="1"/>
    </xf>
    <xf numFmtId="9" fontId="12" fillId="0" borderId="0" xfId="0" applyNumberFormat="1" applyFont="1" applyProtection="1">
      <protection hidden="1"/>
    </xf>
    <xf numFmtId="0" fontId="12" fillId="0" borderId="0" xfId="0" applyFont="1" applyBorder="1" applyAlignment="1" applyProtection="1">
      <alignment horizontal="left"/>
      <protection hidden="1"/>
    </xf>
    <xf numFmtId="0" fontId="5" fillId="0" borderId="26" xfId="0" applyFont="1" applyBorder="1" applyAlignment="1" applyProtection="1">
      <alignment horizontal="right"/>
      <protection locked="0"/>
    </xf>
    <xf numFmtId="0" fontId="5" fillId="0" borderId="20" xfId="0" applyFont="1" applyBorder="1" applyAlignment="1" applyProtection="1">
      <alignment horizontal="right"/>
      <protection locked="0"/>
    </xf>
    <xf numFmtId="172" fontId="8" fillId="0" borderId="25" xfId="0" applyNumberFormat="1" applyFont="1" applyBorder="1" applyAlignment="1" applyProtection="1">
      <alignment horizontal="left"/>
      <protection locked="0"/>
    </xf>
    <xf numFmtId="172" fontId="8" fillId="0" borderId="20" xfId="0" applyNumberFormat="1" applyFont="1" applyBorder="1" applyAlignment="1" applyProtection="1">
      <alignment horizontal="left"/>
      <protection locked="0"/>
    </xf>
    <xf numFmtId="0" fontId="5" fillId="0" borderId="0" xfId="0" applyFont="1" applyAlignment="1" applyProtection="1">
      <alignment horizontal="right" vertical="top"/>
      <protection locked="0"/>
    </xf>
    <xf numFmtId="172" fontId="8" fillId="0" borderId="14" xfId="0" applyNumberFormat="1" applyFont="1" applyBorder="1" applyAlignment="1" applyProtection="1">
      <alignment horizontal="justify" vertical="top"/>
      <protection locked="0"/>
    </xf>
    <xf numFmtId="172" fontId="8" fillId="0" borderId="0" xfId="0" applyNumberFormat="1" applyFont="1" applyBorder="1" applyAlignment="1" applyProtection="1">
      <alignment horizontal="justify" vertical="top"/>
      <protection locked="0"/>
    </xf>
    <xf numFmtId="0" fontId="8" fillId="0" borderId="0" xfId="0" applyFont="1" applyAlignment="1" applyProtection="1">
      <alignment horizontal="right"/>
      <protection locked="0"/>
    </xf>
    <xf numFmtId="0" fontId="8" fillId="0" borderId="0" xfId="0" applyFont="1" applyProtection="1">
      <protection locked="0"/>
    </xf>
    <xf numFmtId="9" fontId="8" fillId="0" borderId="0" xfId="0" applyNumberFormat="1" applyFont="1" applyProtection="1">
      <protection locked="0"/>
    </xf>
    <xf numFmtId="0" fontId="8" fillId="0" borderId="0" xfId="0" applyFont="1" applyBorder="1" applyAlignment="1" applyProtection="1">
      <alignment horizontal="left"/>
      <protection locked="0"/>
    </xf>
    <xf numFmtId="0" fontId="12" fillId="0" borderId="0" xfId="0" applyFont="1" applyProtection="1">
      <protection locked="0"/>
    </xf>
    <xf numFmtId="0" fontId="8" fillId="0" borderId="27" xfId="0" applyFont="1" applyFill="1" applyBorder="1" applyAlignment="1" applyProtection="1">
      <alignment horizontal="right"/>
      <protection locked="0"/>
    </xf>
    <xf numFmtId="0" fontId="8" fillId="0" borderId="26" xfId="0" applyFont="1" applyBorder="1" applyProtection="1">
      <protection locked="0"/>
    </xf>
    <xf numFmtId="3" fontId="23" fillId="0" borderId="27" xfId="0" applyNumberFormat="1" applyFont="1" applyFill="1" applyBorder="1" applyAlignment="1" applyProtection="1">
      <alignment horizontal="left"/>
      <protection hidden="1"/>
    </xf>
    <xf numFmtId="3" fontId="23" fillId="0" borderId="26" xfId="0" applyNumberFormat="1" applyFont="1" applyFill="1" applyBorder="1" applyAlignment="1" applyProtection="1">
      <alignment horizontal="left"/>
      <protection hidden="1"/>
    </xf>
    <xf numFmtId="9" fontId="8" fillId="0" borderId="27" xfId="1" applyFont="1" applyFill="1" applyBorder="1" applyAlignment="1" applyProtection="1">
      <alignment horizontal="right"/>
      <protection locked="0"/>
    </xf>
    <xf numFmtId="0" fontId="12" fillId="0" borderId="14" xfId="0" applyFont="1" applyBorder="1" applyProtection="1">
      <protection locked="0"/>
    </xf>
    <xf numFmtId="173" fontId="8" fillId="0" borderId="27" xfId="1" applyNumberFormat="1" applyFont="1" applyFill="1" applyBorder="1" applyAlignment="1" applyProtection="1">
      <alignment horizontal="right"/>
      <protection locked="0"/>
    </xf>
    <xf numFmtId="2" fontId="8" fillId="0" borderId="0" xfId="0" applyNumberFormat="1" applyFont="1" applyProtection="1">
      <protection locked="0"/>
    </xf>
    <xf numFmtId="0" fontId="24" fillId="0" borderId="0" xfId="0" applyFont="1" applyAlignment="1" applyProtection="1">
      <alignment horizontal="right" vertical="top" wrapText="1"/>
      <protection locked="0"/>
    </xf>
    <xf numFmtId="9" fontId="8" fillId="0" borderId="14" xfId="1" applyFont="1" applyBorder="1" applyAlignment="1" applyProtection="1">
      <alignment horizontal="left"/>
      <protection locked="0"/>
    </xf>
    <xf numFmtId="9" fontId="8" fillId="0" borderId="0" xfId="1" applyFont="1" applyBorder="1" applyAlignment="1" applyProtection="1">
      <alignment horizontal="left"/>
      <protection locked="0"/>
    </xf>
    <xf numFmtId="0" fontId="12" fillId="0" borderId="0" xfId="0" applyFont="1" applyBorder="1" applyProtection="1">
      <protection hidden="1"/>
    </xf>
    <xf numFmtId="0" fontId="25" fillId="0" borderId="3" xfId="0" applyFont="1" applyBorder="1" applyAlignment="1" applyProtection="1">
      <alignment vertical="top" wrapText="1"/>
      <protection hidden="1"/>
    </xf>
    <xf numFmtId="0" fontId="26" fillId="0" borderId="3" xfId="0" applyFont="1" applyBorder="1" applyAlignment="1" applyProtection="1">
      <alignment vertical="top" wrapText="1"/>
      <protection hidden="1"/>
    </xf>
    <xf numFmtId="0" fontId="13" fillId="0" borderId="7" xfId="0" applyFont="1" applyBorder="1" applyAlignment="1" applyProtection="1">
      <alignment horizontal="left" vertical="top" wrapText="1" indent="2"/>
      <protection hidden="1"/>
    </xf>
    <xf numFmtId="0" fontId="13" fillId="0" borderId="3" xfId="0" applyFont="1" applyBorder="1" applyAlignment="1" applyProtection="1">
      <alignment horizontal="left" vertical="top" wrapText="1" indent="2"/>
      <protection hidden="1"/>
    </xf>
    <xf numFmtId="0" fontId="21" fillId="2" borderId="0" xfId="0" applyFont="1" applyFill="1" applyBorder="1" applyAlignment="1" applyProtection="1">
      <alignment horizontal="left" vertical="center" wrapText="1"/>
      <protection hidden="1"/>
    </xf>
    <xf numFmtId="0" fontId="21" fillId="2" borderId="2" xfId="0" applyFont="1" applyFill="1" applyBorder="1" applyAlignment="1" applyProtection="1">
      <alignment horizontal="left" vertical="center" wrapText="1"/>
      <protection hidden="1"/>
    </xf>
    <xf numFmtId="0" fontId="21" fillId="0" borderId="0" xfId="0" applyFont="1" applyBorder="1" applyAlignment="1" applyProtection="1">
      <alignment horizontal="left" vertical="top" wrapText="1" indent="1"/>
      <protection hidden="1"/>
    </xf>
    <xf numFmtId="0" fontId="21" fillId="0" borderId="0" xfId="0" applyFont="1" applyAlignment="1" applyProtection="1">
      <alignment vertical="top"/>
      <protection hidden="1"/>
    </xf>
    <xf numFmtId="0" fontId="21" fillId="2" borderId="0" xfId="0" applyFont="1" applyFill="1" applyBorder="1" applyAlignment="1" applyProtection="1">
      <alignment horizontal="left" vertical="center" wrapText="1"/>
      <protection hidden="1"/>
    </xf>
    <xf numFmtId="0" fontId="21" fillId="0" borderId="0" xfId="0" applyFont="1" applyBorder="1" applyAlignment="1" applyProtection="1">
      <alignment horizontal="justify" vertical="top"/>
      <protection hidden="1"/>
    </xf>
    <xf numFmtId="0" fontId="21" fillId="0" borderId="0" xfId="0" applyFont="1" applyAlignment="1" applyProtection="1">
      <alignment horizontal="justify" vertical="top"/>
      <protection hidden="1"/>
    </xf>
    <xf numFmtId="0" fontId="29" fillId="2" borderId="0" xfId="0" applyFont="1" applyFill="1" applyBorder="1" applyAlignment="1" applyProtection="1">
      <alignment horizontal="center" wrapText="1"/>
      <protection hidden="1"/>
    </xf>
    <xf numFmtId="0" fontId="29" fillId="2" borderId="0" xfId="0" applyFont="1" applyFill="1" applyBorder="1" applyAlignment="1" applyProtection="1">
      <alignment wrapText="1"/>
      <protection hidden="1"/>
    </xf>
    <xf numFmtId="0" fontId="30" fillId="2" borderId="0" xfId="0" applyFont="1" applyFill="1" applyBorder="1" applyAlignment="1" applyProtection="1">
      <alignment horizontal="center" vertical="top" wrapText="1"/>
      <protection hidden="1"/>
    </xf>
    <xf numFmtId="0" fontId="30" fillId="2" borderId="0" xfId="0" applyFont="1" applyFill="1" applyBorder="1" applyAlignment="1" applyProtection="1">
      <alignment vertical="top" wrapText="1"/>
      <protection hidden="1"/>
    </xf>
    <xf numFmtId="0" fontId="31" fillId="2" borderId="0" xfId="0" applyFont="1" applyFill="1" applyBorder="1" applyAlignment="1" applyProtection="1">
      <alignment vertical="top" wrapText="1"/>
      <protection hidden="1"/>
    </xf>
    <xf numFmtId="0" fontId="12" fillId="0" borderId="0" xfId="0" applyFont="1" applyAlignment="1" applyProtection="1">
      <alignment horizontal="right"/>
      <protection hidden="1"/>
    </xf>
    <xf numFmtId="0" fontId="8" fillId="0" borderId="0" xfId="0" applyFont="1" applyBorder="1" applyAlignment="1" applyProtection="1">
      <alignment horizontal="left"/>
      <protection hidden="1"/>
    </xf>
    <xf numFmtId="0" fontId="12" fillId="0" borderId="0" xfId="0" applyFont="1" applyBorder="1" applyAlignment="1" applyProtection="1">
      <alignment horizontal="justify" vertical="top" wrapText="1"/>
      <protection hidden="1"/>
    </xf>
    <xf numFmtId="0" fontId="13" fillId="0" borderId="28" xfId="0" applyFont="1" applyBorder="1" applyAlignment="1" applyProtection="1">
      <alignment horizontal="center" vertical="center" wrapText="1"/>
      <protection hidden="1"/>
    </xf>
    <xf numFmtId="0" fontId="12" fillId="0" borderId="29" xfId="0" applyFont="1" applyBorder="1" applyAlignment="1" applyProtection="1">
      <protection hidden="1"/>
    </xf>
    <xf numFmtId="0" fontId="12" fillId="0" borderId="24" xfId="0" applyFont="1" applyBorder="1" applyProtection="1">
      <protection hidden="1"/>
    </xf>
    <xf numFmtId="9" fontId="12" fillId="0" borderId="24" xfId="0" applyNumberFormat="1" applyFont="1" applyBorder="1" applyAlignment="1" applyProtection="1">
      <protection hidden="1"/>
    </xf>
    <xf numFmtId="0" fontId="12" fillId="0" borderId="30" xfId="0" applyFont="1" applyBorder="1" applyAlignment="1" applyProtection="1">
      <protection hidden="1"/>
    </xf>
    <xf numFmtId="0" fontId="12" fillId="0" borderId="24" xfId="0" applyFont="1" applyBorder="1" applyAlignment="1" applyProtection="1">
      <protection hidden="1"/>
    </xf>
    <xf numFmtId="0" fontId="12" fillId="0" borderId="31" xfId="0" applyFont="1" applyBorder="1" applyAlignment="1" applyProtection="1">
      <protection hidden="1"/>
    </xf>
    <xf numFmtId="0" fontId="13" fillId="0" borderId="32" xfId="0" applyFont="1" applyBorder="1" applyAlignment="1" applyProtection="1">
      <alignment horizontal="center" vertical="center" wrapText="1"/>
      <protection hidden="1"/>
    </xf>
    <xf numFmtId="0" fontId="20" fillId="0" borderId="33" xfId="0" applyFont="1" applyBorder="1" applyAlignment="1" applyProtection="1">
      <alignment horizontal="center"/>
      <protection hidden="1"/>
    </xf>
    <xf numFmtId="0" fontId="20" fillId="0" borderId="26" xfId="0" applyFont="1" applyBorder="1" applyAlignment="1" applyProtection="1">
      <alignment horizontal="center"/>
      <protection hidden="1"/>
    </xf>
    <xf numFmtId="0" fontId="20" fillId="0" borderId="34" xfId="0" applyFont="1" applyBorder="1" applyAlignment="1" applyProtection="1">
      <alignment horizontal="center"/>
      <protection hidden="1"/>
    </xf>
    <xf numFmtId="0" fontId="20" fillId="0" borderId="35" xfId="0" applyFont="1" applyBorder="1" applyAlignment="1" applyProtection="1">
      <alignment horizontal="center"/>
      <protection hidden="1"/>
    </xf>
    <xf numFmtId="0" fontId="13" fillId="0" borderId="36" xfId="0" applyFont="1" applyBorder="1" applyAlignment="1" applyProtection="1">
      <alignment horizontal="center" vertical="center" wrapText="1"/>
      <protection hidden="1"/>
    </xf>
    <xf numFmtId="173" fontId="20" fillId="0" borderId="37" xfId="1" applyNumberFormat="1" applyFont="1" applyBorder="1" applyAlignment="1" applyProtection="1">
      <alignment horizontal="center" vertical="center"/>
      <protection hidden="1"/>
    </xf>
    <xf numFmtId="173" fontId="20" fillId="0" borderId="38" xfId="1" applyNumberFormat="1" applyFont="1" applyBorder="1" applyAlignment="1" applyProtection="1">
      <alignment horizontal="center" vertical="center"/>
      <protection hidden="1"/>
    </xf>
    <xf numFmtId="3" fontId="12" fillId="0" borderId="39" xfId="0" applyNumberFormat="1" applyFont="1" applyBorder="1" applyProtection="1">
      <protection hidden="1"/>
    </xf>
    <xf numFmtId="0" fontId="12" fillId="0" borderId="40" xfId="0" applyFont="1" applyFill="1" applyBorder="1" applyAlignment="1" applyProtection="1">
      <alignment horizontal="center"/>
      <protection hidden="1"/>
    </xf>
    <xf numFmtId="0" fontId="12" fillId="0" borderId="41" xfId="0" applyFont="1" applyFill="1" applyBorder="1" applyAlignment="1" applyProtection="1">
      <alignment horizontal="center"/>
      <protection hidden="1"/>
    </xf>
    <xf numFmtId="3" fontId="12" fillId="0" borderId="42" xfId="0" applyNumberFormat="1" applyFont="1" applyBorder="1" applyProtection="1">
      <protection hidden="1"/>
    </xf>
    <xf numFmtId="0" fontId="12" fillId="0" borderId="33" xfId="0" applyFont="1" applyFill="1" applyBorder="1" applyAlignment="1" applyProtection="1">
      <alignment horizontal="center"/>
      <protection hidden="1"/>
    </xf>
    <xf numFmtId="0" fontId="12" fillId="0" borderId="43" xfId="0" applyFont="1" applyFill="1" applyBorder="1" applyAlignment="1" applyProtection="1">
      <alignment horizontal="center"/>
      <protection hidden="1"/>
    </xf>
    <xf numFmtId="3" fontId="12" fillId="0" borderId="44" xfId="0" applyNumberFormat="1" applyFont="1" applyBorder="1" applyProtection="1">
      <protection hidden="1"/>
    </xf>
    <xf numFmtId="0" fontId="12" fillId="0" borderId="45" xfId="0" applyFont="1" applyFill="1" applyBorder="1" applyAlignment="1" applyProtection="1">
      <alignment horizontal="center"/>
      <protection hidden="1"/>
    </xf>
    <xf numFmtId="0" fontId="12" fillId="0" borderId="46" xfId="0" applyFont="1" applyFill="1" applyBorder="1" applyAlignment="1" applyProtection="1">
      <alignment horizontal="center"/>
      <protection hidden="1"/>
    </xf>
    <xf numFmtId="0" fontId="12" fillId="0" borderId="0" xfId="0" applyFont="1" applyAlignment="1" applyProtection="1">
      <alignment horizontal="left" vertical="top" wrapText="1"/>
      <protection hidden="1"/>
    </xf>
    <xf numFmtId="0" fontId="34" fillId="2" borderId="0" xfId="2" applyFont="1" applyFill="1" applyBorder="1" applyAlignment="1" applyProtection="1">
      <alignment horizontal="center" vertical="top" wrapText="1"/>
      <protection hidden="1"/>
    </xf>
    <xf numFmtId="0" fontId="18" fillId="2" borderId="1" xfId="0" applyFont="1" applyFill="1" applyBorder="1" applyAlignment="1" applyProtection="1">
      <alignment horizontal="left"/>
      <protection hidden="1"/>
    </xf>
    <xf numFmtId="0" fontId="35" fillId="2" borderId="1" xfId="0" applyFont="1" applyFill="1" applyBorder="1"/>
    <xf numFmtId="0" fontId="19" fillId="2" borderId="7" xfId="0" applyFont="1" applyFill="1" applyBorder="1" applyAlignment="1">
      <alignment horizontal="right"/>
    </xf>
    <xf numFmtId="0" fontId="19" fillId="2" borderId="3" xfId="0" applyFont="1" applyFill="1" applyBorder="1" applyAlignment="1">
      <alignment horizontal="right"/>
    </xf>
    <xf numFmtId="0" fontId="19" fillId="2" borderId="4" xfId="0" applyFont="1" applyFill="1" applyBorder="1" applyAlignment="1">
      <alignment horizontal="right"/>
    </xf>
    <xf numFmtId="0" fontId="19" fillId="2" borderId="10" xfId="0" applyFont="1" applyFill="1" applyBorder="1" applyAlignment="1">
      <alignment horizontal="right"/>
    </xf>
    <xf numFmtId="0" fontId="19" fillId="2" borderId="11" xfId="0" applyFont="1" applyFill="1" applyBorder="1" applyAlignment="1">
      <alignment horizontal="right"/>
    </xf>
    <xf numFmtId="0" fontId="16" fillId="0" borderId="11" xfId="0" applyFont="1" applyBorder="1" applyAlignment="1">
      <alignment horizontal="right"/>
    </xf>
    <xf numFmtId="0" fontId="16" fillId="0" borderId="5" xfId="0" applyFont="1" applyBorder="1" applyAlignment="1">
      <alignment horizontal="center"/>
    </xf>
    <xf numFmtId="0" fontId="19" fillId="2" borderId="0" xfId="0" applyFont="1" applyFill="1" applyBorder="1" applyAlignment="1">
      <alignment horizontal="left"/>
    </xf>
    <xf numFmtId="3" fontId="19" fillId="2" borderId="7" xfId="0" applyNumberFormat="1" applyFont="1" applyFill="1" applyBorder="1" applyAlignment="1">
      <alignment horizontal="left"/>
    </xf>
    <xf numFmtId="3" fontId="19" fillId="3" borderId="7" xfId="0" applyNumberFormat="1" applyFont="1" applyFill="1" applyBorder="1" applyAlignment="1">
      <alignment horizontal="left"/>
    </xf>
    <xf numFmtId="3" fontId="19" fillId="2" borderId="3" xfId="0" applyNumberFormat="1" applyFont="1" applyFill="1" applyBorder="1" applyAlignment="1">
      <alignment horizontal="left"/>
    </xf>
    <xf numFmtId="0" fontId="0" fillId="0" borderId="22" xfId="0" applyBorder="1" applyProtection="1">
      <protection hidden="1"/>
    </xf>
    <xf numFmtId="0" fontId="0" fillId="0" borderId="0" xfId="0" applyProtection="1">
      <protection hidden="1"/>
    </xf>
    <xf numFmtId="0" fontId="0" fillId="0" borderId="47" xfId="0" applyBorder="1" applyAlignment="1" applyProtection="1">
      <alignment horizontal="left" vertical="top" wrapText="1" indent="1"/>
      <protection hidden="1"/>
    </xf>
    <xf numFmtId="0" fontId="33" fillId="0" borderId="22" xfId="2" applyBorder="1" applyAlignment="1" applyProtection="1">
      <alignment horizontal="right"/>
      <protection hidden="1"/>
    </xf>
    <xf numFmtId="0" fontId="21" fillId="0" borderId="0" xfId="0" applyFont="1" applyAlignment="1" applyProtection="1">
      <alignment horizontal="left" wrapText="1"/>
      <protection hidden="1"/>
    </xf>
    <xf numFmtId="0" fontId="36" fillId="0" borderId="0" xfId="2" applyFont="1" applyProtection="1">
      <protection hidden="1"/>
    </xf>
    <xf numFmtId="3" fontId="8" fillId="3" borderId="27" xfId="0" applyNumberFormat="1" applyFont="1" applyFill="1" applyBorder="1" applyAlignment="1" applyProtection="1">
      <alignment horizontal="right"/>
    </xf>
    <xf numFmtId="0" fontId="8" fillId="3" borderId="27" xfId="0" applyFont="1" applyFill="1" applyBorder="1" applyAlignment="1" applyProtection="1">
      <alignment horizontal="left"/>
    </xf>
    <xf numFmtId="0" fontId="8" fillId="3" borderId="26" xfId="0" applyFont="1" applyFill="1" applyBorder="1" applyAlignment="1" applyProtection="1">
      <alignment horizontal="left"/>
    </xf>
    <xf numFmtId="0" fontId="8" fillId="3" borderId="25" xfId="0" applyFont="1" applyFill="1" applyBorder="1" applyAlignment="1" applyProtection="1">
      <alignment horizontal="left"/>
      <protection locked="0"/>
    </xf>
    <xf numFmtId="0" fontId="8" fillId="3" borderId="20" xfId="0" applyFont="1" applyFill="1" applyBorder="1" applyAlignment="1" applyProtection="1">
      <alignment horizontal="left"/>
      <protection locked="0"/>
    </xf>
    <xf numFmtId="172" fontId="8" fillId="3" borderId="25" xfId="0" applyNumberFormat="1" applyFont="1" applyFill="1" applyBorder="1" applyAlignment="1" applyProtection="1">
      <alignment horizontal="left"/>
      <protection locked="0"/>
    </xf>
    <xf numFmtId="172" fontId="8" fillId="3" borderId="20" xfId="0" applyNumberFormat="1" applyFont="1" applyFill="1" applyBorder="1" applyAlignment="1" applyProtection="1">
      <alignment horizontal="left"/>
      <protection locked="0"/>
    </xf>
    <xf numFmtId="0" fontId="0" fillId="0" borderId="0" xfId="0" applyFill="1" applyAlignment="1">
      <alignment horizontal="center" vertical="center"/>
    </xf>
  </cellXfs>
  <cellStyles count="3">
    <cellStyle name="Hipervínculo" xfId="2" builtinId="8"/>
    <cellStyle name="Normal" xfId="0" builtinId="0"/>
    <cellStyle name="Porcentaje" xfId="1" builtinId="5"/>
  </cellStyles>
  <dxfs count="11">
    <dxf>
      <font>
        <b/>
        <i val="0"/>
      </font>
      <fill>
        <patternFill>
          <bgColor theme="7"/>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alignment horizontal="center" vertical="center" textRotation="0" wrapText="0" indent="0" justifyLastLine="0" shrinkToFit="0" readingOrder="0"/>
    </dxf>
    <dxf>
      <font>
        <color rgb="FF9C0006"/>
      </font>
      <fill>
        <patternFill>
          <bgColor rgb="FFFFC7CE"/>
        </patternFill>
      </fill>
    </dxf>
    <dxf>
      <font>
        <color theme="0"/>
      </font>
    </dxf>
    <dxf>
      <font>
        <color theme="0"/>
      </font>
    </dxf>
    <dxf>
      <alignment horizontal="general" vertical="bottom" textRotation="0" wrapText="1"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27</xdr:col>
      <xdr:colOff>152400</xdr:colOff>
      <xdr:row>14</xdr:row>
      <xdr:rowOff>95250</xdr:rowOff>
    </xdr:from>
    <xdr:to>
      <xdr:col>30</xdr:col>
      <xdr:colOff>7869</xdr:colOff>
      <xdr:row>15</xdr:row>
      <xdr:rowOff>125067</xdr:rowOff>
    </xdr:to>
    <xdr:sp macro="[0]!PrintSample" textlink="">
      <xdr:nvSpPr>
        <xdr:cNvPr id="4" name="Rectángulo redondeado 3"/>
        <xdr:cNvSpPr/>
      </xdr:nvSpPr>
      <xdr:spPr>
        <a:xfrm>
          <a:off x="5553075" y="2238375"/>
          <a:ext cx="455544" cy="182217"/>
        </a:xfrm>
        <a:prstGeom prst="roundRect">
          <a:avLst/>
        </a:prstGeom>
        <a:solidFill>
          <a:schemeClr val="tx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lIns="0" tIns="0" rIns="0" bIns="0" rtlCol="0" anchor="ctr"/>
        <a:lstStyle/>
        <a:p>
          <a:pPr algn="ctr"/>
          <a:r>
            <a:rPr lang="en-US" sz="800">
              <a:solidFill>
                <a:schemeClr val="bg1"/>
              </a:solidFill>
            </a:rPr>
            <a:t>Print</a:t>
          </a:r>
        </a:p>
      </xdr:txBody>
    </xdr:sp>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132522</xdr:colOff>
      <xdr:row>1</xdr:row>
      <xdr:rowOff>16566</xdr:rowOff>
    </xdr:from>
    <xdr:to>
      <xdr:col>9</xdr:col>
      <xdr:colOff>588066</xdr:colOff>
      <xdr:row>1</xdr:row>
      <xdr:rowOff>198783</xdr:rowOff>
    </xdr:to>
    <xdr:sp macro="[0]!PrintSample" textlink="">
      <xdr:nvSpPr>
        <xdr:cNvPr id="2" name="Rectángulo redondeado 1"/>
        <xdr:cNvSpPr/>
      </xdr:nvSpPr>
      <xdr:spPr>
        <a:xfrm>
          <a:off x="5866572" y="159441"/>
          <a:ext cx="455544" cy="182217"/>
        </a:xfrm>
        <a:prstGeom prst="roundRect">
          <a:avLst/>
        </a:prstGeom>
        <a:solidFill>
          <a:schemeClr val="tx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lIns="0" tIns="0" rIns="0" bIns="0" rtlCol="0" anchor="ctr"/>
        <a:lstStyle/>
        <a:p>
          <a:pPr algn="ctr"/>
          <a:r>
            <a:rPr lang="en-US" sz="800">
              <a:solidFill>
                <a:schemeClr val="bg1"/>
              </a:solidFill>
            </a:rPr>
            <a:t>Print</a:t>
          </a:r>
        </a:p>
      </xdr:txBody>
    </xdr:sp>
    <xdr:clientData fLocksWithSheet="0" fPrintsWithSheet="0"/>
  </xdr:twoCellAnchor>
</xdr:wsDr>
</file>

<file path=xl/tables/table1.xml><?xml version="1.0" encoding="utf-8"?>
<table xmlns="http://schemas.openxmlformats.org/spreadsheetml/2006/main" id="2" name="Tabla2" displayName="Tabla2" ref="A1:K121" totalsRowShown="0" headerRowDxfId="5">
  <autoFilter ref="A1:K121"/>
  <tableColumns count="11">
    <tableColumn id="1" name="#"/>
    <tableColumn id="2" name="Grupo/Group"/>
    <tableColumn id="3" name="Interrogante/Question" dataDxfId="9"/>
    <tableColumn id="4" name="a)"/>
    <tableColumn id="5" name="b)"/>
    <tableColumn id="6" name="c)"/>
    <tableColumn id="7" name="d)"/>
    <tableColumn id="8" name="e)"/>
    <tableColumn id="11" name="Answer"/>
    <tableColumn id="12" name="PointsMax"/>
    <tableColumn id="13" name="Points Step"/>
  </tableColumns>
  <tableStyleInfo name="TableStyleLight1" showFirstColumn="0" showLastColumn="0" showRowStripes="1" showColumnStripes="0"/>
</table>
</file>

<file path=xl/tables/table2.xml><?xml version="1.0" encoding="utf-8"?>
<table xmlns="http://schemas.openxmlformats.org/spreadsheetml/2006/main" id="1" name="translations" displayName="translations" ref="A1:C60" totalsRowShown="0">
  <autoFilter ref="A1:C60"/>
  <sortState ref="A2:C23">
    <sortCondition ref="A1:A23"/>
  </sortState>
  <tableColumns count="3">
    <tableColumn id="1" name="Key" dataDxfId="10"/>
    <tableColumn id="2" name="English"/>
    <tableColumn id="3" name="Español"/>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ithub.com/reatcas/me-box" TargetMode="External"/><Relationship Id="rId1" Type="http://schemas.openxmlformats.org/officeDocument/2006/relationships/hyperlink" Target="https://github.com/reatcas/me-box" TargetMode="Externa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eatcas/me-box" TargetMode="External"/><Relationship Id="rId1" Type="http://schemas.openxmlformats.org/officeDocument/2006/relationships/hyperlink" Target="http://unlicens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D62"/>
  <sheetViews>
    <sheetView showGridLines="0" tabSelected="1" view="pageLayout" zoomScaleNormal="100" workbookViewId="0">
      <selection activeCell="H17" sqref="H17:AD17"/>
    </sheetView>
  </sheetViews>
  <sheetFormatPr baseColWidth="10" defaultColWidth="2.85546875" defaultRowHeight="13.5" customHeight="1" x14ac:dyDescent="0.2"/>
  <cols>
    <col min="1" max="30" width="2.85546875" style="14" customWidth="1"/>
    <col min="31" max="16384" width="2.85546875" style="14"/>
  </cols>
  <sheetData>
    <row r="1" spans="1:30" ht="27.75" customHeight="1" thickBot="1" x14ac:dyDescent="0.35">
      <c r="A1" s="16"/>
      <c r="B1" s="186" t="str">
        <f>IFERROR(VLOOKUP(Translations!$A$2,translations[],IF($AA$2=Translations!$B$1,2,3),0),"")</f>
        <v>Herramienta de Monitoreo</v>
      </c>
      <c r="C1" s="186"/>
      <c r="D1" s="186"/>
      <c r="E1" s="186"/>
      <c r="F1" s="186"/>
      <c r="G1" s="186"/>
      <c r="H1" s="186"/>
      <c r="I1" s="186"/>
      <c r="J1" s="186"/>
      <c r="K1" s="186"/>
      <c r="L1" s="186"/>
      <c r="M1" s="186"/>
      <c r="N1" s="186"/>
      <c r="O1" s="186"/>
      <c r="P1" s="187"/>
      <c r="Q1" s="44" t="str">
        <f>IF(H8&gt;0,
IF(H11&gt;0,
IF(O12&gt;0,
IF(O13&gt;0,
IF(O14&gt;0,
CONCATENATE(H8,"-",O12,O13,O14,"-",H11),
IFERROR(VLOOKUP(Translations!$A$46,translations[],IF($AA$2=Translations!$B$1,2,3),0),"Error")),
IFERROR(VLOOKUP(Translations!$A$46,translations[],IF($AA$2=Translations!$B$1,2,3),0),"Error")),
IFERROR(VLOOKUP(Translations!$A$46,translations[],IF($AA$2=Translations!$B$1,2,3),0),"Error")),
IFERROR(VLOOKUP(Translations!$A$46,translations[],IF($AA$2=Translations!$B$1,2,3),0),"Error")),
IFERROR(VLOOKUP(Translations!$A$46,translations[],IF($AA$2=Translations!$B$1,2,3),0),"Error"))</f>
        <v>Campos incompletos *</v>
      </c>
      <c r="R1" s="44"/>
      <c r="S1" s="44"/>
      <c r="T1" s="44"/>
      <c r="U1" s="44"/>
      <c r="V1" s="44"/>
      <c r="W1" s="44"/>
      <c r="X1" s="44"/>
      <c r="Y1" s="44"/>
      <c r="Z1" s="44"/>
      <c r="AA1" s="44"/>
      <c r="AB1" s="44"/>
      <c r="AC1" s="44"/>
      <c r="AD1" s="44"/>
    </row>
    <row r="2" spans="1:30" ht="12" customHeight="1" x14ac:dyDescent="0.2">
      <c r="A2" s="17"/>
      <c r="B2" s="45"/>
      <c r="C2" s="46"/>
      <c r="D2" s="46"/>
      <c r="E2" s="46"/>
      <c r="F2" s="46"/>
      <c r="G2" s="46"/>
      <c r="H2" s="46"/>
      <c r="I2" s="46"/>
      <c r="J2" s="46"/>
      <c r="K2" s="46"/>
      <c r="L2" s="51"/>
      <c r="M2" s="51"/>
      <c r="N2" s="51"/>
      <c r="O2" s="51"/>
      <c r="P2" s="51"/>
      <c r="Q2" s="51"/>
      <c r="R2" s="51"/>
      <c r="S2" s="51"/>
      <c r="T2" s="51"/>
      <c r="U2" s="51"/>
      <c r="V2" s="51"/>
      <c r="W2" s="47" t="str">
        <f>IFERROR(VLOOKUP(Translations!$A$20,translations[],IF($AA$2="English",3,2),0),"")</f>
        <v>Idioma</v>
      </c>
      <c r="X2" s="47"/>
      <c r="Y2" s="47"/>
      <c r="Z2" s="48"/>
      <c r="AA2" s="49" t="s">
        <v>15</v>
      </c>
      <c r="AB2" s="50"/>
      <c r="AC2" s="50"/>
      <c r="AD2" s="50"/>
    </row>
    <row r="3" spans="1:30" ht="4.5" customHeight="1" x14ac:dyDescent="0.2">
      <c r="A3" s="17"/>
      <c r="B3" s="46"/>
      <c r="C3" s="46"/>
      <c r="D3" s="46"/>
      <c r="E3" s="46"/>
      <c r="F3" s="46"/>
      <c r="G3" s="46"/>
      <c r="H3" s="51"/>
      <c r="I3" s="46"/>
      <c r="J3" s="46"/>
      <c r="K3" s="46"/>
      <c r="L3" s="46"/>
      <c r="M3" s="46"/>
      <c r="N3" s="46"/>
      <c r="O3" s="51"/>
      <c r="P3" s="51"/>
      <c r="Q3" s="51"/>
      <c r="R3" s="51"/>
      <c r="S3" s="51"/>
      <c r="T3" s="51"/>
      <c r="U3" s="51"/>
      <c r="V3" s="51"/>
      <c r="W3" s="51"/>
      <c r="X3" s="51"/>
      <c r="Y3" s="51"/>
      <c r="Z3" s="51"/>
      <c r="AA3" s="51"/>
      <c r="AB3" s="51"/>
      <c r="AC3" s="51"/>
      <c r="AD3" s="51"/>
    </row>
    <row r="4" spans="1:30" ht="12" customHeight="1" x14ac:dyDescent="0.2">
      <c r="A4" s="16"/>
      <c r="B4" s="52" t="str">
        <f>IFERROR(VLOOKUP(Translations!$A$3,translations[],IF($AA$2=Translations!$B$1,2,3),0),"")</f>
        <v>Organización</v>
      </c>
      <c r="C4" s="52"/>
      <c r="D4" s="52"/>
      <c r="E4" s="52"/>
      <c r="F4" s="52"/>
      <c r="G4" s="53"/>
      <c r="H4" s="54"/>
      <c r="I4" s="55"/>
      <c r="J4" s="55"/>
      <c r="K4" s="55"/>
      <c r="L4" s="55"/>
      <c r="M4" s="55"/>
      <c r="N4" s="55"/>
      <c r="O4" s="55"/>
      <c r="P4" s="55"/>
      <c r="Q4" s="55"/>
      <c r="R4" s="55"/>
      <c r="S4" s="55"/>
      <c r="T4" s="55"/>
      <c r="U4" s="55"/>
      <c r="V4" s="55"/>
      <c r="W4" s="55"/>
      <c r="X4" s="55"/>
      <c r="Y4" s="55"/>
      <c r="Z4" s="55"/>
      <c r="AA4" s="55"/>
      <c r="AB4" s="55"/>
      <c r="AC4" s="55"/>
      <c r="AD4" s="55"/>
    </row>
    <row r="5" spans="1:30" ht="12" customHeight="1" x14ac:dyDescent="0.2">
      <c r="A5" s="16"/>
      <c r="B5" s="56" t="str">
        <f>IFERROR(VLOOKUP(Translations!$A$21,translations[],IF($AA$2=Translations!$B$1,2,3),0),"")</f>
        <v>Acrónimo</v>
      </c>
      <c r="C5" s="56"/>
      <c r="D5" s="56"/>
      <c r="E5" s="56"/>
      <c r="F5" s="56"/>
      <c r="G5" s="57"/>
      <c r="H5" s="74"/>
      <c r="I5" s="75"/>
      <c r="J5" s="75"/>
      <c r="K5" s="75"/>
      <c r="L5" s="75"/>
      <c r="M5" s="75"/>
      <c r="N5" s="75"/>
      <c r="O5" s="75"/>
      <c r="P5" s="46"/>
      <c r="Q5" s="88" t="str">
        <f>IFERROR(VLOOKUP(Translations!A6,translations[],IF($AA$2=Translations!$B$1,2,3),0),"")</f>
        <v>Autor</v>
      </c>
      <c r="R5" s="88"/>
      <c r="S5" s="88"/>
      <c r="T5" s="88"/>
      <c r="U5" s="88"/>
      <c r="V5" s="89"/>
      <c r="W5" s="72"/>
      <c r="X5" s="73"/>
      <c r="Y5" s="73"/>
      <c r="Z5" s="73"/>
      <c r="AA5" s="73"/>
      <c r="AB5" s="73"/>
      <c r="AC5" s="73"/>
      <c r="AD5" s="73"/>
    </row>
    <row r="6" spans="1:30" ht="4.5" customHeight="1" x14ac:dyDescent="0.2">
      <c r="A6" s="16"/>
      <c r="B6" s="58"/>
      <c r="C6" s="58"/>
      <c r="D6" s="58"/>
      <c r="E6" s="51"/>
      <c r="F6" s="59"/>
      <c r="G6" s="59"/>
      <c r="H6" s="60"/>
      <c r="I6" s="51"/>
      <c r="J6" s="51"/>
      <c r="K6" s="51"/>
      <c r="L6" s="51"/>
      <c r="M6" s="51"/>
      <c r="N6" s="51"/>
      <c r="O6" s="51"/>
      <c r="P6" s="46"/>
      <c r="Q6" s="46"/>
      <c r="R6" s="46"/>
      <c r="S6" s="46"/>
      <c r="T6" s="51"/>
      <c r="U6" s="51"/>
      <c r="V6" s="51"/>
      <c r="W6" s="51"/>
      <c r="X6" s="51"/>
      <c r="Y6" s="46"/>
      <c r="Z6" s="46"/>
      <c r="AA6" s="46"/>
      <c r="AB6" s="17"/>
      <c r="AC6" s="17"/>
      <c r="AD6" s="51"/>
    </row>
    <row r="7" spans="1:30" ht="12" customHeight="1" x14ac:dyDescent="0.2">
      <c r="A7" s="16"/>
      <c r="B7" s="52" t="str">
        <f>IFERROR(VLOOKUP(Translations!$A$4,translations[],IF($AA$2=Translations!$B$1,2,3),0),"")</f>
        <v>Proyecto</v>
      </c>
      <c r="C7" s="52"/>
      <c r="D7" s="52"/>
      <c r="E7" s="52"/>
      <c r="F7" s="52"/>
      <c r="G7" s="53"/>
      <c r="H7" s="42"/>
      <c r="I7" s="43"/>
      <c r="J7" s="43"/>
      <c r="K7" s="43"/>
      <c r="L7" s="43"/>
      <c r="M7" s="43"/>
      <c r="N7" s="43"/>
      <c r="O7" s="43"/>
      <c r="P7" s="51"/>
      <c r="Q7" s="52" t="str">
        <f>IFERROR(VLOOKUP(Translations!A11,translations[],IF($AA$2=Translations!$B$1,2,3),0),"")</f>
        <v>Población total</v>
      </c>
      <c r="R7" s="52"/>
      <c r="S7" s="52"/>
      <c r="T7" s="52"/>
      <c r="U7" s="52"/>
      <c r="V7" s="52"/>
      <c r="W7" s="196"/>
      <c r="X7" s="198"/>
      <c r="Y7" s="198"/>
      <c r="Z7" s="198"/>
      <c r="AA7" s="198"/>
      <c r="AB7" s="198"/>
      <c r="AC7" s="198"/>
      <c r="AD7" s="198"/>
    </row>
    <row r="8" spans="1:30" ht="12" customHeight="1" x14ac:dyDescent="0.2">
      <c r="A8" s="16"/>
      <c r="B8" s="52" t="str">
        <f>IFERROR(VLOOKUP(Translations!$A$5,translations[],IF($AA$2=Translations!$B$1,2,3),0),"")</f>
        <v>Código Proyecto*</v>
      </c>
      <c r="C8" s="52"/>
      <c r="D8" s="52"/>
      <c r="E8" s="52"/>
      <c r="F8" s="52"/>
      <c r="G8" s="53"/>
      <c r="H8" s="86"/>
      <c r="I8" s="87"/>
      <c r="J8" s="87"/>
      <c r="K8" s="87"/>
      <c r="L8" s="87"/>
      <c r="M8" s="87"/>
      <c r="N8" s="87"/>
      <c r="O8" s="87"/>
      <c r="P8" s="51"/>
      <c r="Q8" s="52" t="str">
        <f>IFERROR(VLOOKUP(Translations!A12,translations[],IF($AA$2=Translations!$B$1,2,3),0),"")</f>
        <v>Tamaño de muestra</v>
      </c>
      <c r="R8" s="52"/>
      <c r="S8" s="52"/>
      <c r="T8" s="52"/>
      <c r="U8" s="52"/>
      <c r="V8" s="53"/>
      <c r="W8" s="197" t="str">
        <f>'HM02-Calc'!H12</f>
        <v>ERROR</v>
      </c>
      <c r="X8" s="41"/>
      <c r="Y8" s="41"/>
      <c r="Z8" s="41"/>
      <c r="AA8" s="41"/>
      <c r="AB8" s="41"/>
      <c r="AC8" s="41"/>
      <c r="AD8" s="41"/>
    </row>
    <row r="9" spans="1:30" ht="12" customHeight="1" x14ac:dyDescent="0.2">
      <c r="A9" s="16"/>
      <c r="B9" s="52" t="str">
        <f>IFERROR(VLOOKUP(Translations!A7,translations[],IF($AA$2=Translations!$B$1,2,3),0),"")</f>
        <v>Fecha</v>
      </c>
      <c r="C9" s="52"/>
      <c r="D9" s="52"/>
      <c r="E9" s="52"/>
      <c r="F9" s="52"/>
      <c r="G9" s="53"/>
      <c r="H9" s="76"/>
      <c r="I9" s="77"/>
      <c r="J9" s="77"/>
      <c r="K9" s="77"/>
      <c r="L9" s="77"/>
      <c r="M9" s="77"/>
      <c r="N9" s="77"/>
      <c r="O9" s="77"/>
      <c r="P9" s="46"/>
      <c r="Q9" s="52" t="str">
        <f>IFERROR(VLOOKUP(Translations!A17,translations[],IF($AA$2=Translations!$B$1,2,3),0),"")</f>
        <v>Personas/sesión</v>
      </c>
      <c r="R9" s="52"/>
      <c r="S9" s="52"/>
      <c r="T9" s="52"/>
      <c r="U9" s="52"/>
      <c r="V9" s="53"/>
      <c r="W9" s="42"/>
      <c r="X9" s="43"/>
      <c r="Y9" s="43"/>
      <c r="Z9" s="43"/>
      <c r="AA9" s="43"/>
      <c r="AB9" s="43"/>
      <c r="AC9" s="43"/>
      <c r="AD9" s="43"/>
    </row>
    <row r="10" spans="1:30" ht="12" customHeight="1" x14ac:dyDescent="0.2">
      <c r="A10" s="16"/>
      <c r="B10" s="52" t="str">
        <f>IFERROR(VLOOKUP(Translations!A8,translations[],IF($AA$2=Translations!$B$1,2,3),0),"")</f>
        <v>Donante</v>
      </c>
      <c r="C10" s="52"/>
      <c r="D10" s="52"/>
      <c r="E10" s="52"/>
      <c r="F10" s="52"/>
      <c r="G10" s="53"/>
      <c r="H10" s="78"/>
      <c r="I10" s="79"/>
      <c r="J10" s="79"/>
      <c r="K10" s="79"/>
      <c r="L10" s="79"/>
      <c r="M10" s="79"/>
      <c r="N10" s="79"/>
      <c r="O10" s="79"/>
      <c r="P10" s="46"/>
      <c r="Q10" s="52" t="str">
        <f>IFERROR(VLOOKUP(Translations!A18,translations[],IF($AA$2=Translations!$B$1,2,3),0),"")</f>
        <v>Tiempo de sesión</v>
      </c>
      <c r="R10" s="52"/>
      <c r="S10" s="52"/>
      <c r="T10" s="52"/>
      <c r="U10" s="52"/>
      <c r="V10" s="53"/>
      <c r="W10" s="188"/>
      <c r="X10" s="189"/>
      <c r="Y10" s="190"/>
      <c r="Z10" s="82" t="s">
        <v>129</v>
      </c>
      <c r="AA10" s="191"/>
      <c r="AB10" s="192"/>
      <c r="AC10" s="192"/>
      <c r="AD10" s="83" t="s">
        <v>130</v>
      </c>
    </row>
    <row r="11" spans="1:30" ht="12" customHeight="1" x14ac:dyDescent="0.2">
      <c r="A11" s="51"/>
      <c r="B11" s="80" t="str">
        <f>IFERROR(VLOOKUP(Translations!A9,translations[],IF($AA$2=Translations!$B$1,2,3),0),"")</f>
        <v>Código KPI*</v>
      </c>
      <c r="C11" s="80"/>
      <c r="D11" s="80"/>
      <c r="E11" s="80"/>
      <c r="F11" s="80"/>
      <c r="G11" s="81"/>
      <c r="H11" s="94"/>
      <c r="I11" s="95"/>
      <c r="J11" s="95"/>
      <c r="K11" s="95"/>
      <c r="L11" s="95"/>
      <c r="M11" s="95"/>
      <c r="N11" s="95"/>
      <c r="O11" s="95"/>
      <c r="P11" s="51"/>
      <c r="Q11" s="52" t="str">
        <f>IFERROR(VLOOKUP(Translations!A13,translations[],IF($AA$2=Translations!$B$1,2,3),0),"")</f>
        <v>Rasgos en común</v>
      </c>
      <c r="R11" s="52"/>
      <c r="S11" s="52"/>
      <c r="T11" s="52"/>
      <c r="U11" s="52"/>
      <c r="V11" s="53"/>
      <c r="W11" s="42"/>
      <c r="X11" s="43"/>
      <c r="Y11" s="43"/>
      <c r="Z11" s="43"/>
      <c r="AA11" s="43"/>
      <c r="AB11" s="43"/>
      <c r="AC11" s="43"/>
      <c r="AD11" s="43"/>
    </row>
    <row r="12" spans="1:30" ht="12" customHeight="1" thickBot="1" x14ac:dyDescent="0.25">
      <c r="A12" s="46"/>
      <c r="B12" s="52" t="str">
        <f>IFERROR(VLOOKUP(Translations!A15,translations[],IF($AA$2=Translations!$B$1,2,3),0),"")</f>
        <v>Tipo de medición*</v>
      </c>
      <c r="C12" s="52"/>
      <c r="D12" s="52"/>
      <c r="E12" s="52"/>
      <c r="F12" s="52"/>
      <c r="G12" s="53"/>
      <c r="H12" s="96" t="str">
        <f>IFERROR(VLOOKUP(O12,translations[],IF($AA$2=Translations!$B$1,2,3),0),
IFERROR(VLOOKUP(22,translations[],IF($AA$2=Translations!$B$1,2,3),0),"Error"))</f>
        <v>Selecciona una opción -&gt;</v>
      </c>
      <c r="I12" s="97"/>
      <c r="J12" s="97"/>
      <c r="K12" s="97"/>
      <c r="L12" s="97"/>
      <c r="M12" s="97"/>
      <c r="N12" s="98"/>
      <c r="O12" s="84"/>
      <c r="P12" s="51"/>
      <c r="Q12" s="52" t="str">
        <f>IFERROR(VLOOKUP(Translations!A14,translations[],IF($AA$2=Translations!$B$1,2,3),0),"")</f>
        <v>Lugar</v>
      </c>
      <c r="R12" s="52"/>
      <c r="S12" s="52"/>
      <c r="T12" s="52"/>
      <c r="U12" s="52"/>
      <c r="V12" s="53"/>
      <c r="W12" s="42"/>
      <c r="X12" s="43"/>
      <c r="Y12" s="43"/>
      <c r="Z12" s="43"/>
      <c r="AA12" s="43"/>
      <c r="AB12" s="43"/>
      <c r="AC12" s="43"/>
      <c r="AD12" s="43"/>
    </row>
    <row r="13" spans="1:30" ht="12" customHeight="1" thickBot="1" x14ac:dyDescent="0.25">
      <c r="A13" s="46"/>
      <c r="B13" s="52" t="str">
        <f>IFERROR(VLOOKUP(Translations!A16,translations[],IF($AA$2=Translations!$B$1,2,3),0),"")</f>
        <v>Metodología*</v>
      </c>
      <c r="C13" s="52"/>
      <c r="D13" s="52"/>
      <c r="E13" s="52"/>
      <c r="F13" s="52"/>
      <c r="G13" s="53"/>
      <c r="H13" s="96" t="str">
        <f>IFERROR(VLOOKUP(O13,translations[],IF($AA$2=Translations!$B$1,2,3),0),
IFERROR(VLOOKUP(22,translations[],IF($AA$2=Translations!$B$1,2,3),0),"Error"))</f>
        <v>Selecciona una opción -&gt;</v>
      </c>
      <c r="I13" s="97"/>
      <c r="J13" s="97"/>
      <c r="K13" s="97"/>
      <c r="L13" s="97"/>
      <c r="M13" s="97"/>
      <c r="N13" s="98"/>
      <c r="O13" s="84"/>
      <c r="P13" s="17"/>
      <c r="Q13" s="193" t="str">
        <f>IFERROR(VLOOKUP(Translations!$A$60,translations[],IF($AA$2=Translations!$B$1,2,3),0),"")</f>
        <v>Etapa</v>
      </c>
      <c r="R13" s="193"/>
      <c r="S13" s="193"/>
      <c r="T13" s="193"/>
      <c r="U13" s="193"/>
      <c r="V13" s="193"/>
      <c r="W13" s="30" t="str">
        <f>IFERROR(VLOOKUP(AC13,translations[],IF($AA$2=Translations!$B$1,2,3),0),
IFERROR(VLOOKUP(22,translations[],IF($AA$2=Translations!$B$1,2,3),0),"Error"))</f>
        <v>Selecciona una opción -&gt;</v>
      </c>
      <c r="X13" s="31"/>
      <c r="Y13" s="31"/>
      <c r="Z13" s="31"/>
      <c r="AA13" s="31"/>
      <c r="AB13" s="31"/>
      <c r="AC13" s="194"/>
      <c r="AD13" s="194"/>
    </row>
    <row r="14" spans="1:30" ht="12" customHeight="1" thickBot="1" x14ac:dyDescent="0.25">
      <c r="A14" s="51"/>
      <c r="B14" s="52" t="str">
        <f>IFERROR(VLOOKUP(Translations!A33,translations[],IF($AA$2=Translations!$B$1,2,3),0),"")</f>
        <v>Tipo de muestra*</v>
      </c>
      <c r="C14" s="52"/>
      <c r="D14" s="52"/>
      <c r="E14" s="52"/>
      <c r="F14" s="52"/>
      <c r="G14" s="53"/>
      <c r="H14" s="96" t="str">
        <f>IFERROR(VLOOKUP(O14,translations[],IF($AA$2=Translations!$B$1,2,3),0),
IFERROR(VLOOKUP(22,translations[],IF($AA$2=Translations!$B$1,2,3),0),"Error"))</f>
        <v>Selecciona una opción -&gt;</v>
      </c>
      <c r="I14" s="97"/>
      <c r="J14" s="97"/>
      <c r="K14" s="97"/>
      <c r="L14" s="97"/>
      <c r="M14" s="97"/>
      <c r="N14" s="98"/>
      <c r="O14" s="85"/>
      <c r="P14" s="17"/>
      <c r="Q14" s="17"/>
      <c r="R14" s="17"/>
      <c r="S14" s="17"/>
      <c r="T14" s="17"/>
      <c r="U14" s="17"/>
      <c r="V14" s="17"/>
      <c r="W14" s="17"/>
      <c r="X14" s="17"/>
      <c r="Y14" s="17"/>
      <c r="Z14" s="17"/>
      <c r="AA14" s="17"/>
      <c r="AB14" s="17"/>
      <c r="AC14" s="17"/>
      <c r="AD14" s="17"/>
    </row>
    <row r="15" spans="1:30" ht="12" customHeight="1" thickBot="1" x14ac:dyDescent="0.25">
      <c r="A15" s="46"/>
      <c r="B15" s="52" t="str">
        <f>IFERROR(VLOOKUP(Translations!A19,translations[],IF($AA$2=Translations!$B$1,2,3),0),"")</f>
        <v>Modalidad</v>
      </c>
      <c r="C15" s="52"/>
      <c r="D15" s="52"/>
      <c r="E15" s="52"/>
      <c r="F15" s="52"/>
      <c r="G15" s="53"/>
      <c r="H15" s="99" t="str">
        <f>IFERROR(VLOOKUP(O15,translations[],IF($AA$2=Translations!$B$1,2,3),0),
IFERROR(VLOOKUP(22,translations[],IF($AA$2=Translations!$B$1,2,3),0),"Error"))</f>
        <v>Selecciona una opción -&gt;</v>
      </c>
      <c r="I15" s="100"/>
      <c r="J15" s="100"/>
      <c r="K15" s="100"/>
      <c r="L15" s="100"/>
      <c r="M15" s="100"/>
      <c r="N15" s="101"/>
      <c r="O15" s="90"/>
      <c r="P15" s="17"/>
      <c r="Q15" s="17"/>
      <c r="R15" s="17"/>
      <c r="S15" s="17"/>
      <c r="T15" s="17"/>
      <c r="U15" s="17"/>
      <c r="V15" s="17"/>
      <c r="W15" s="17"/>
      <c r="X15" s="17"/>
      <c r="Y15" s="17"/>
      <c r="Z15" s="17"/>
      <c r="AA15" s="17"/>
      <c r="AB15" s="17"/>
      <c r="AC15" s="17"/>
      <c r="AD15" s="17"/>
    </row>
    <row r="16" spans="1:30" ht="12" customHeight="1" x14ac:dyDescent="0.2">
      <c r="A16" s="17"/>
      <c r="B16" s="92"/>
      <c r="C16" s="92"/>
      <c r="D16" s="92"/>
      <c r="E16" s="92"/>
      <c r="F16" s="92"/>
      <c r="G16" s="92"/>
      <c r="H16" s="71"/>
      <c r="I16" s="71"/>
      <c r="J16" s="71"/>
      <c r="K16" s="71"/>
      <c r="L16" s="71"/>
      <c r="M16" s="71"/>
      <c r="N16" s="71"/>
      <c r="O16" s="71"/>
      <c r="P16" s="51"/>
      <c r="Q16" s="93"/>
      <c r="R16" s="93"/>
      <c r="S16" s="93"/>
      <c r="T16" s="93"/>
      <c r="U16" s="93"/>
      <c r="V16" s="93"/>
      <c r="W16" s="195"/>
      <c r="X16" s="195"/>
      <c r="Y16" s="195"/>
      <c r="Z16" s="195"/>
      <c r="AA16" s="195"/>
      <c r="AB16" s="195"/>
      <c r="AC16" s="195"/>
      <c r="AD16" s="195"/>
    </row>
    <row r="17" spans="1:30" ht="49.5" customHeight="1" x14ac:dyDescent="0.2">
      <c r="A17" s="17"/>
      <c r="B17" s="102" t="str">
        <f>IFERROR(VLOOKUP(Translations!$A$10,translations[],IF($AA$2=Translations!$B$1,2,3),0),"")</f>
        <v>Descripción del KPI</v>
      </c>
      <c r="C17" s="102"/>
      <c r="D17" s="102"/>
      <c r="E17" s="102"/>
      <c r="F17" s="102"/>
      <c r="G17" s="103"/>
      <c r="H17" s="104"/>
      <c r="I17" s="105"/>
      <c r="J17" s="105"/>
      <c r="K17" s="105"/>
      <c r="L17" s="105"/>
      <c r="M17" s="105"/>
      <c r="N17" s="105"/>
      <c r="O17" s="105"/>
      <c r="P17" s="105"/>
      <c r="Q17" s="105"/>
      <c r="R17" s="105"/>
      <c r="S17" s="105"/>
      <c r="T17" s="105"/>
      <c r="U17" s="105"/>
      <c r="V17" s="105"/>
      <c r="W17" s="105"/>
      <c r="X17" s="105"/>
      <c r="Y17" s="105"/>
      <c r="Z17" s="105"/>
      <c r="AA17" s="105"/>
      <c r="AB17" s="105"/>
      <c r="AC17" s="105"/>
      <c r="AD17" s="105"/>
    </row>
    <row r="18" spans="1:30" ht="15.75" customHeight="1" thickBot="1" x14ac:dyDescent="0.25">
      <c r="A18" s="17"/>
      <c r="B18" s="61"/>
      <c r="C18" s="61"/>
      <c r="D18" s="61"/>
      <c r="E18" s="61"/>
      <c r="F18" s="61"/>
      <c r="G18" s="61"/>
      <c r="H18" s="61"/>
      <c r="I18" s="61"/>
      <c r="J18" s="61"/>
      <c r="K18" s="61"/>
      <c r="L18" s="61"/>
      <c r="M18" s="61"/>
      <c r="N18" s="61"/>
      <c r="O18" s="61"/>
      <c r="P18" s="62"/>
      <c r="Q18" s="62"/>
      <c r="R18" s="62"/>
      <c r="S18" s="62"/>
      <c r="T18" s="62"/>
      <c r="U18" s="62"/>
      <c r="V18" s="62"/>
      <c r="W18" s="62"/>
      <c r="X18" s="62"/>
      <c r="Y18" s="62"/>
      <c r="Z18" s="62"/>
      <c r="AA18" s="62"/>
      <c r="AB18" s="62"/>
      <c r="AC18" s="62"/>
      <c r="AD18" s="62"/>
    </row>
    <row r="19" spans="1:30" ht="16.5" customHeight="1" x14ac:dyDescent="0.2">
      <c r="B19" s="34" t="str">
        <f>Tabla2[[#Headers],['#]]</f>
        <v>#</v>
      </c>
      <c r="C19" s="36" t="str">
        <f>IFERROR(VLOOKUP(Translations!$A$53,translations[],IF($AA$2=Translations!$B$1,2,3),0),"")</f>
        <v>Grupo</v>
      </c>
      <c r="D19" s="36"/>
      <c r="E19" s="37" t="str">
        <f>IFERROR(VLOOKUP(Translations!$A$52,translations[],IF($AA$2=Translations!$B$1,2,3),0),"")</f>
        <v>Interrogante</v>
      </c>
      <c r="F19" s="37"/>
      <c r="G19" s="37"/>
      <c r="H19" s="37"/>
      <c r="I19" s="37"/>
      <c r="J19" s="37"/>
      <c r="K19" s="37"/>
      <c r="L19" s="37"/>
      <c r="M19" s="37"/>
      <c r="N19" s="37"/>
      <c r="O19" s="37"/>
      <c r="P19" s="38" t="str">
        <f>LEFT('HM01-FormSource'!D1,1)</f>
        <v>a</v>
      </c>
      <c r="Q19" s="38"/>
      <c r="R19" s="38"/>
      <c r="S19" s="38" t="str">
        <f>LEFT('HM01-FormSource'!E1,1)</f>
        <v>b</v>
      </c>
      <c r="T19" s="38"/>
      <c r="U19" s="38"/>
      <c r="V19" s="38" t="str">
        <f>LEFT('HM01-FormSource'!F1,1)</f>
        <v>c</v>
      </c>
      <c r="W19" s="38"/>
      <c r="X19" s="38"/>
      <c r="Y19" s="38" t="str">
        <f>LEFT('HM01-FormSource'!G1,1)</f>
        <v>d</v>
      </c>
      <c r="Z19" s="38"/>
      <c r="AA19" s="38"/>
      <c r="AB19" s="38" t="str">
        <f>LEFT('HM01-FormSource'!H1,1)</f>
        <v>e</v>
      </c>
      <c r="AC19" s="38"/>
      <c r="AD19" s="38"/>
    </row>
    <row r="20" spans="1:30" ht="13.5" customHeight="1" x14ac:dyDescent="0.2">
      <c r="B20" s="33" t="str">
        <f>IF('HM01-FormSource'!B2&gt;0,CONCATENATE("           ",'HM01-FormSource'!B2),CONCATENATE('HM01-FormSource'!A2,".- ",'HM01-FormSource'!C2))</f>
        <v xml:space="preserve">           Intro</v>
      </c>
      <c r="C20" s="33"/>
      <c r="D20" s="33"/>
      <c r="E20" s="33"/>
      <c r="F20" s="33"/>
      <c r="G20" s="33"/>
      <c r="H20" s="33"/>
      <c r="I20" s="33"/>
      <c r="J20" s="33"/>
      <c r="K20" s="33"/>
      <c r="L20" s="33"/>
      <c r="M20" s="33"/>
      <c r="N20" s="33"/>
      <c r="O20" s="33"/>
      <c r="P20" s="35" t="str">
        <f>IF('HM01-FormSource'!D2&gt;0,CONCATENATE(Tabla2[[#Headers],[a)]],"  ",'HM01-FormSource'!D2),"")</f>
        <v/>
      </c>
      <c r="Q20" s="35"/>
      <c r="R20" s="35"/>
      <c r="S20" s="35" t="str">
        <f>IF('HM01-FormSource'!E2&gt;0,CONCATENATE(Tabla2[[#Headers],[b)]],"  ",'HM01-FormSource'!E2),"")</f>
        <v/>
      </c>
      <c r="T20" s="35"/>
      <c r="U20" s="35"/>
      <c r="V20" s="35" t="str">
        <f>IF('HM01-FormSource'!F2&gt;0,CONCATENATE(Tabla2[[#Headers],[c)]],"  ",'HM01-FormSource'!F2),"")</f>
        <v/>
      </c>
      <c r="W20" s="35"/>
      <c r="X20" s="35"/>
      <c r="Y20" s="35" t="str">
        <f>IF('HM01-FormSource'!G2&gt;0,CONCATENATE(Tabla2[[#Headers],[d)]],"  ",'HM01-FormSource'!G2),"")</f>
        <v/>
      </c>
      <c r="Z20" s="35"/>
      <c r="AA20" s="35"/>
      <c r="AB20" s="35" t="str">
        <f>IF('HM01-FormSource'!H2&gt;0,CONCATENATE(Tabla2[[#Headers],[e)]],"  ",'HM01-FormSource'!H2),"")</f>
        <v/>
      </c>
      <c r="AC20" s="35"/>
      <c r="AD20" s="35"/>
    </row>
    <row r="21" spans="1:30" s="40" customFormat="1" ht="14.25" customHeight="1" x14ac:dyDescent="0.25">
      <c r="B21" s="63" t="str">
        <f>IF('HM01-FormSource'!B3&gt;0,CONCATENATE("       ",'HM01-FormSource'!B3),CONCATENATE('HM01-FormSource'!A3,".- ",'HM01-FormSource'!C3))</f>
        <v xml:space="preserve">1.- </v>
      </c>
      <c r="C21" s="63"/>
      <c r="D21" s="63"/>
      <c r="E21" s="63"/>
      <c r="F21" s="63"/>
      <c r="G21" s="63"/>
      <c r="H21" s="63"/>
      <c r="I21" s="63"/>
      <c r="J21" s="63"/>
      <c r="K21" s="63"/>
      <c r="L21" s="63"/>
      <c r="M21" s="63"/>
      <c r="N21" s="63"/>
      <c r="O21" s="63"/>
      <c r="P21" s="63" t="str">
        <f>IF('HM01-FormSource'!D3&gt;0,CONCATENATE(Tabla2[[#Headers],[a)]],"  ",'HM01-FormSource'!D3),"")</f>
        <v/>
      </c>
      <c r="Q21" s="63"/>
      <c r="R21" s="63"/>
      <c r="S21" s="63" t="str">
        <f>IF('HM01-FormSource'!E3&gt;0,CONCATENATE(Tabla2[[#Headers],[b)]],"  ",'HM01-FormSource'!E3),"")</f>
        <v/>
      </c>
      <c r="T21" s="63"/>
      <c r="U21" s="63"/>
      <c r="V21" s="63" t="str">
        <f>IF('HM01-FormSource'!F3&gt;0,CONCATENATE(Tabla2[[#Headers],[c)]],"  ",'HM01-FormSource'!F3),"")</f>
        <v/>
      </c>
      <c r="W21" s="63"/>
      <c r="X21" s="63"/>
      <c r="Y21" s="63" t="str">
        <f>IF('HM01-FormSource'!G3&gt;0,CONCATENATE(Tabla2[[#Headers],[d)]],"  ",'HM01-FormSource'!G3),"")</f>
        <v/>
      </c>
      <c r="Z21" s="63"/>
      <c r="AA21" s="63"/>
      <c r="AB21" s="63" t="str">
        <f>IF('HM01-FormSource'!H3&gt;0,CONCATENATE(Tabla2[[#Headers],[e)]],"  ",'HM01-FormSource'!H3),"")</f>
        <v/>
      </c>
      <c r="AC21" s="63"/>
      <c r="AD21" s="63"/>
    </row>
    <row r="22" spans="1:30" s="40" customFormat="1" ht="14.25" customHeight="1" x14ac:dyDescent="0.25">
      <c r="B22" s="63" t="str">
        <f>IF('HM01-FormSource'!B4&gt;0,CONCATENATE("       ",'HM01-FormSource'!B4),CONCATENATE('HM01-FormSource'!A4,".- ",'HM01-FormSource'!C4))</f>
        <v xml:space="preserve">2.- </v>
      </c>
      <c r="C22" s="63"/>
      <c r="D22" s="63"/>
      <c r="E22" s="63"/>
      <c r="F22" s="63"/>
      <c r="G22" s="63"/>
      <c r="H22" s="63"/>
      <c r="I22" s="63"/>
      <c r="J22" s="63"/>
      <c r="K22" s="63"/>
      <c r="L22" s="63"/>
      <c r="M22" s="63"/>
      <c r="N22" s="63"/>
      <c r="O22" s="63"/>
      <c r="P22" s="63" t="str">
        <f>IF('HM01-FormSource'!D4&gt;0,CONCATENATE(Tabla2[[#Headers],[a)]],"  ",'HM01-FormSource'!D4),"")</f>
        <v/>
      </c>
      <c r="Q22" s="63"/>
      <c r="R22" s="63"/>
      <c r="S22" s="63" t="str">
        <f>IF('HM01-FormSource'!E4&gt;0,CONCATENATE(Tabla2[[#Headers],[b)]],"  ",'HM01-FormSource'!E4),"")</f>
        <v/>
      </c>
      <c r="T22" s="63"/>
      <c r="U22" s="63"/>
      <c r="V22" s="63" t="str">
        <f>IF('HM01-FormSource'!F4&gt;0,CONCATENATE(Tabla2[[#Headers],[c)]],"  ",'HM01-FormSource'!F4),"")</f>
        <v/>
      </c>
      <c r="W22" s="63"/>
      <c r="X22" s="63"/>
      <c r="Y22" s="63" t="str">
        <f>IF('HM01-FormSource'!G4&gt;0,CONCATENATE(Tabla2[[#Headers],[d)]],"  ",'HM01-FormSource'!G4),"")</f>
        <v/>
      </c>
      <c r="Z22" s="63"/>
      <c r="AA22" s="63"/>
      <c r="AB22" s="63" t="str">
        <f>IF('HM01-FormSource'!H4&gt;0,CONCATENATE(Tabla2[[#Headers],[e)]],"  ",'HM01-FormSource'!H4),"")</f>
        <v/>
      </c>
      <c r="AC22" s="63"/>
      <c r="AD22" s="63"/>
    </row>
    <row r="23" spans="1:30" s="40" customFormat="1" ht="14.25" customHeight="1" x14ac:dyDescent="0.25">
      <c r="B23" s="63" t="str">
        <f>IF('HM01-FormSource'!B5&gt;0,CONCATENATE("       ",'HM01-FormSource'!B5),CONCATENATE('HM01-FormSource'!A5,".- ",'HM01-FormSource'!C5))</f>
        <v xml:space="preserve">3.- </v>
      </c>
      <c r="C23" s="63"/>
      <c r="D23" s="63"/>
      <c r="E23" s="63"/>
      <c r="F23" s="63"/>
      <c r="G23" s="63"/>
      <c r="H23" s="63"/>
      <c r="I23" s="63"/>
      <c r="J23" s="63"/>
      <c r="K23" s="63"/>
      <c r="L23" s="63"/>
      <c r="M23" s="63"/>
      <c r="N23" s="63"/>
      <c r="O23" s="63"/>
      <c r="P23" s="63" t="str">
        <f>IF('HM01-FormSource'!D5&gt;0,CONCATENATE(Tabla2[[#Headers],[a)]],"  ",'HM01-FormSource'!D5),"")</f>
        <v/>
      </c>
      <c r="Q23" s="63"/>
      <c r="R23" s="63"/>
      <c r="S23" s="63" t="str">
        <f>IF('HM01-FormSource'!E5&gt;0,CONCATENATE(Tabla2[[#Headers],[b)]],"  ",'HM01-FormSource'!E5),"")</f>
        <v/>
      </c>
      <c r="T23" s="63"/>
      <c r="U23" s="63"/>
      <c r="V23" s="63" t="str">
        <f>IF('HM01-FormSource'!F5&gt;0,CONCATENATE(Tabla2[[#Headers],[c)]],"  ",'HM01-FormSource'!F5),"")</f>
        <v/>
      </c>
      <c r="W23" s="63"/>
      <c r="X23" s="63"/>
      <c r="Y23" s="63" t="str">
        <f>IF('HM01-FormSource'!G5&gt;0,CONCATENATE(Tabla2[[#Headers],[d)]],"  ",'HM01-FormSource'!G5),"")</f>
        <v/>
      </c>
      <c r="Z23" s="63"/>
      <c r="AA23" s="63"/>
      <c r="AB23" s="63" t="str">
        <f>IF('HM01-FormSource'!H5&gt;0,CONCATENATE(Tabla2[[#Headers],[e)]],"  ",'HM01-FormSource'!H5),"")</f>
        <v/>
      </c>
      <c r="AC23" s="63"/>
      <c r="AD23" s="63"/>
    </row>
    <row r="24" spans="1:30" s="40" customFormat="1" ht="14.25" customHeight="1" x14ac:dyDescent="0.25">
      <c r="B24" s="63" t="str">
        <f>IF('HM01-FormSource'!B6&gt;0,CONCATENATE("       ",'HM01-FormSource'!B6),CONCATENATE('HM01-FormSource'!A6,".- ",'HM01-FormSource'!C6))</f>
        <v xml:space="preserve">4.- </v>
      </c>
      <c r="C24" s="63"/>
      <c r="D24" s="63"/>
      <c r="E24" s="63"/>
      <c r="F24" s="63"/>
      <c r="G24" s="63"/>
      <c r="H24" s="63"/>
      <c r="I24" s="63"/>
      <c r="J24" s="63"/>
      <c r="K24" s="63"/>
      <c r="L24" s="63"/>
      <c r="M24" s="63"/>
      <c r="N24" s="63"/>
      <c r="O24" s="63"/>
      <c r="P24" s="63" t="str">
        <f>IF('HM01-FormSource'!D6&gt;0,CONCATENATE(Tabla2[[#Headers],[a)]],"  ",'HM01-FormSource'!D6),"")</f>
        <v/>
      </c>
      <c r="Q24" s="63"/>
      <c r="R24" s="63"/>
      <c r="S24" s="63" t="str">
        <f>IF('HM01-FormSource'!E6&gt;0,CONCATENATE(Tabla2[[#Headers],[b)]],"  ",'HM01-FormSource'!E6),"")</f>
        <v/>
      </c>
      <c r="T24" s="63"/>
      <c r="U24" s="63"/>
      <c r="V24" s="63" t="str">
        <f>IF('HM01-FormSource'!F6&gt;0,CONCATENATE(Tabla2[[#Headers],[c)]],"  ",'HM01-FormSource'!F6),"")</f>
        <v/>
      </c>
      <c r="W24" s="63"/>
      <c r="X24" s="63"/>
      <c r="Y24" s="63" t="str">
        <f>IF('HM01-FormSource'!G6&gt;0,CONCATENATE(Tabla2[[#Headers],[d)]],"  ",'HM01-FormSource'!G6),"")</f>
        <v/>
      </c>
      <c r="Z24" s="63"/>
      <c r="AA24" s="63"/>
      <c r="AB24" s="63" t="str">
        <f>IF('HM01-FormSource'!H6&gt;0,CONCATENATE(Tabla2[[#Headers],[e)]],"  ",'HM01-FormSource'!H6),"")</f>
        <v/>
      </c>
      <c r="AC24" s="63"/>
      <c r="AD24" s="63"/>
    </row>
    <row r="25" spans="1:30" s="40" customFormat="1" ht="14.25" customHeight="1" x14ac:dyDescent="0.25">
      <c r="B25" s="63" t="str">
        <f>IF('HM01-FormSource'!B7&gt;0,CONCATENATE("       ",'HM01-FormSource'!B7),CONCATENATE('HM01-FormSource'!A7,".- ",'HM01-FormSource'!C7))</f>
        <v xml:space="preserve">5.- </v>
      </c>
      <c r="C25" s="63"/>
      <c r="D25" s="63"/>
      <c r="E25" s="63"/>
      <c r="F25" s="63"/>
      <c r="G25" s="63"/>
      <c r="H25" s="63"/>
      <c r="I25" s="63"/>
      <c r="J25" s="63"/>
      <c r="K25" s="63"/>
      <c r="L25" s="63"/>
      <c r="M25" s="63"/>
      <c r="N25" s="63"/>
      <c r="O25" s="63"/>
      <c r="P25" s="63" t="str">
        <f>IF('HM01-FormSource'!D7&gt;0,CONCATENATE(Tabla2[[#Headers],[a)]],"  ",'HM01-FormSource'!D7),"")</f>
        <v/>
      </c>
      <c r="Q25" s="63"/>
      <c r="R25" s="63"/>
      <c r="S25" s="63" t="str">
        <f>IF('HM01-FormSource'!E7&gt;0,CONCATENATE(Tabla2[[#Headers],[b)]],"  ",'HM01-FormSource'!E7),"")</f>
        <v/>
      </c>
      <c r="T25" s="63"/>
      <c r="U25" s="63"/>
      <c r="V25" s="63" t="str">
        <f>IF('HM01-FormSource'!F7&gt;0,CONCATENATE(Tabla2[[#Headers],[c)]],"  ",'HM01-FormSource'!F7),"")</f>
        <v/>
      </c>
      <c r="W25" s="63"/>
      <c r="X25" s="63"/>
      <c r="Y25" s="63" t="str">
        <f>IF('HM01-FormSource'!G7&gt;0,CONCATENATE(Tabla2[[#Headers],[d)]],"  ",'HM01-FormSource'!G7),"")</f>
        <v/>
      </c>
      <c r="Z25" s="63"/>
      <c r="AA25" s="63"/>
      <c r="AB25" s="63" t="str">
        <f>IF('HM01-FormSource'!H7&gt;0,CONCATENATE(Tabla2[[#Headers],[e)]],"  ",'HM01-FormSource'!H7),"")</f>
        <v/>
      </c>
      <c r="AC25" s="63"/>
      <c r="AD25" s="63"/>
    </row>
    <row r="26" spans="1:30" s="40" customFormat="1" ht="14.25" customHeight="1" x14ac:dyDescent="0.25">
      <c r="B26" s="63" t="str">
        <f>IF('HM01-FormSource'!B8&gt;0,CONCATENATE("       ",'HM01-FormSource'!B8),CONCATENATE('HM01-FormSource'!A8,".- ",'HM01-FormSource'!C8))</f>
        <v xml:space="preserve">6.- </v>
      </c>
      <c r="C26" s="63"/>
      <c r="D26" s="63"/>
      <c r="E26" s="63"/>
      <c r="F26" s="63"/>
      <c r="G26" s="63"/>
      <c r="H26" s="63"/>
      <c r="I26" s="63"/>
      <c r="J26" s="63"/>
      <c r="K26" s="63"/>
      <c r="L26" s="63"/>
      <c r="M26" s="63"/>
      <c r="N26" s="63"/>
      <c r="O26" s="63"/>
      <c r="P26" s="63" t="str">
        <f>IF('HM01-FormSource'!D8&gt;0,CONCATENATE(Tabla2[[#Headers],[a)]],"  ",'HM01-FormSource'!D8),"")</f>
        <v/>
      </c>
      <c r="Q26" s="63"/>
      <c r="R26" s="63"/>
      <c r="S26" s="63" t="str">
        <f>IF('HM01-FormSource'!E8&gt;0,CONCATENATE(Tabla2[[#Headers],[b)]],"  ",'HM01-FormSource'!E8),"")</f>
        <v/>
      </c>
      <c r="T26" s="63"/>
      <c r="U26" s="63"/>
      <c r="V26" s="63" t="str">
        <f>IF('HM01-FormSource'!F8&gt;0,CONCATENATE(Tabla2[[#Headers],[c)]],"  ",'HM01-FormSource'!F8),"")</f>
        <v/>
      </c>
      <c r="W26" s="63"/>
      <c r="X26" s="63"/>
      <c r="Y26" s="63" t="str">
        <f>IF('HM01-FormSource'!G8&gt;0,CONCATENATE(Tabla2[[#Headers],[d)]],"  ",'HM01-FormSource'!G8),"")</f>
        <v/>
      </c>
      <c r="Z26" s="63"/>
      <c r="AA26" s="63"/>
      <c r="AB26" s="63" t="str">
        <f>IF('HM01-FormSource'!H8&gt;0,CONCATENATE(Tabla2[[#Headers],[e)]],"  ",'HM01-FormSource'!H8),"")</f>
        <v/>
      </c>
      <c r="AC26" s="63"/>
      <c r="AD26" s="63"/>
    </row>
    <row r="27" spans="1:30" s="40" customFormat="1" ht="14.25" customHeight="1" x14ac:dyDescent="0.25">
      <c r="B27" s="63" t="str">
        <f>IF('HM01-FormSource'!B9&gt;0,CONCATENATE("       ",'HM01-FormSource'!B9),CONCATENATE('HM01-FormSource'!A9,".- ",'HM01-FormSource'!C9))</f>
        <v xml:space="preserve">7.- </v>
      </c>
      <c r="C27" s="63"/>
      <c r="D27" s="63"/>
      <c r="E27" s="63"/>
      <c r="F27" s="63"/>
      <c r="G27" s="63"/>
      <c r="H27" s="63"/>
      <c r="I27" s="63"/>
      <c r="J27" s="63"/>
      <c r="K27" s="63"/>
      <c r="L27" s="63"/>
      <c r="M27" s="63"/>
      <c r="N27" s="63"/>
      <c r="O27" s="63"/>
      <c r="P27" s="63" t="str">
        <f>IF('HM01-FormSource'!D9&gt;0,CONCATENATE(Tabla2[[#Headers],[a)]],"  ",'HM01-FormSource'!D9),"")</f>
        <v/>
      </c>
      <c r="Q27" s="63"/>
      <c r="R27" s="63"/>
      <c r="S27" s="63" t="str">
        <f>IF('HM01-FormSource'!E9&gt;0,CONCATENATE(Tabla2[[#Headers],[b)]],"  ",'HM01-FormSource'!E9),"")</f>
        <v/>
      </c>
      <c r="T27" s="63"/>
      <c r="U27" s="63"/>
      <c r="V27" s="63" t="str">
        <f>IF('HM01-FormSource'!F9&gt;0,CONCATENATE(Tabla2[[#Headers],[c)]],"  ",'HM01-FormSource'!F9),"")</f>
        <v/>
      </c>
      <c r="W27" s="63"/>
      <c r="X27" s="63"/>
      <c r="Y27" s="63" t="str">
        <f>IF('HM01-FormSource'!G9&gt;0,CONCATENATE(Tabla2[[#Headers],[d)]],"  ",'HM01-FormSource'!G9),"")</f>
        <v/>
      </c>
      <c r="Z27" s="63"/>
      <c r="AA27" s="63"/>
      <c r="AB27" s="63" t="str">
        <f>IF('HM01-FormSource'!H9&gt;0,CONCATENATE(Tabla2[[#Headers],[e)]],"  ",'HM01-FormSource'!H9),"")</f>
        <v/>
      </c>
      <c r="AC27" s="63"/>
      <c r="AD27" s="63"/>
    </row>
    <row r="28" spans="1:30" s="40" customFormat="1" ht="14.25" customHeight="1" x14ac:dyDescent="0.25">
      <c r="B28" s="63" t="str">
        <f>IF('HM01-FormSource'!B10&gt;0,CONCATENATE("       ",'HM01-FormSource'!B10),CONCATENATE('HM01-FormSource'!A10,".- ",'HM01-FormSource'!C10))</f>
        <v xml:space="preserve">8.- </v>
      </c>
      <c r="C28" s="63"/>
      <c r="D28" s="63"/>
      <c r="E28" s="63"/>
      <c r="F28" s="63"/>
      <c r="G28" s="63"/>
      <c r="H28" s="63"/>
      <c r="I28" s="63"/>
      <c r="J28" s="63"/>
      <c r="K28" s="63"/>
      <c r="L28" s="63"/>
      <c r="M28" s="63"/>
      <c r="N28" s="63"/>
      <c r="O28" s="63"/>
      <c r="P28" s="63" t="str">
        <f>IF('HM01-FormSource'!D10&gt;0,CONCATENATE(Tabla2[[#Headers],[a)]],"  ",'HM01-FormSource'!D10),"")</f>
        <v/>
      </c>
      <c r="Q28" s="63"/>
      <c r="R28" s="63"/>
      <c r="S28" s="63" t="str">
        <f>IF('HM01-FormSource'!E10&gt;0,CONCATENATE(Tabla2[[#Headers],[b)]],"  ",'HM01-FormSource'!E10),"")</f>
        <v/>
      </c>
      <c r="T28" s="63"/>
      <c r="U28" s="63"/>
      <c r="V28" s="63" t="str">
        <f>IF('HM01-FormSource'!F10&gt;0,CONCATENATE(Tabla2[[#Headers],[c)]],"  ",'HM01-FormSource'!F10),"")</f>
        <v/>
      </c>
      <c r="W28" s="63"/>
      <c r="X28" s="63"/>
      <c r="Y28" s="63" t="str">
        <f>IF('HM01-FormSource'!G10&gt;0,CONCATENATE(Tabla2[[#Headers],[d)]],"  ",'HM01-FormSource'!G10),"")</f>
        <v/>
      </c>
      <c r="Z28" s="63"/>
      <c r="AA28" s="63"/>
      <c r="AB28" s="63" t="str">
        <f>IF('HM01-FormSource'!H10&gt;0,CONCATENATE(Tabla2[[#Headers],[e)]],"  ",'HM01-FormSource'!H10),"")</f>
        <v/>
      </c>
      <c r="AC28" s="63"/>
      <c r="AD28" s="63"/>
    </row>
    <row r="29" spans="1:30" s="40" customFormat="1" ht="14.25" customHeight="1" x14ac:dyDescent="0.25">
      <c r="B29" s="64" t="str">
        <f>IF('HM01-FormSource'!B11&gt;0,CONCATENATE("       ",'HM01-FormSource'!B11),CONCATENATE('HM01-FormSource'!A11,".- ",'HM01-FormSource'!C11))</f>
        <v xml:space="preserve">9.- </v>
      </c>
      <c r="C29" s="64"/>
      <c r="D29" s="64"/>
      <c r="E29" s="64"/>
      <c r="F29" s="64"/>
      <c r="G29" s="64"/>
      <c r="H29" s="64"/>
      <c r="I29" s="64"/>
      <c r="J29" s="64"/>
      <c r="K29" s="64"/>
      <c r="L29" s="64"/>
      <c r="M29" s="64"/>
      <c r="N29" s="64"/>
      <c r="O29" s="64"/>
      <c r="P29" s="64" t="str">
        <f>IF('HM01-FormSource'!D11&gt;0,CONCATENATE(Tabla2[[#Headers],[a)]],"  ",'HM01-FormSource'!D11),"")</f>
        <v/>
      </c>
      <c r="Q29" s="64"/>
      <c r="R29" s="64"/>
      <c r="S29" s="64" t="str">
        <f>IF('HM01-FormSource'!E11&gt;0,CONCATENATE(Tabla2[[#Headers],[b)]],"  ",'HM01-FormSource'!E11),"")</f>
        <v/>
      </c>
      <c r="T29" s="64"/>
      <c r="U29" s="64"/>
      <c r="V29" s="64" t="str">
        <f>IF('HM01-FormSource'!F11&gt;0,CONCATENATE(Tabla2[[#Headers],[c)]],"  ",'HM01-FormSource'!F11),"")</f>
        <v/>
      </c>
      <c r="W29" s="64"/>
      <c r="X29" s="64"/>
      <c r="Y29" s="64" t="str">
        <f>IF('HM01-FormSource'!G11&gt;0,CONCATENATE(Tabla2[[#Headers],[d)]],"  ",'HM01-FormSource'!G11),"")</f>
        <v/>
      </c>
      <c r="Z29" s="64"/>
      <c r="AA29" s="64"/>
      <c r="AB29" s="64" t="str">
        <f>IF('HM01-FormSource'!H11&gt;0,CONCATENATE(Tabla2[[#Headers],[e)]],"  ",'HM01-FormSource'!H11),"")</f>
        <v/>
      </c>
      <c r="AC29" s="64"/>
      <c r="AD29" s="64"/>
    </row>
    <row r="30" spans="1:30" ht="14.25" customHeight="1" x14ac:dyDescent="0.2">
      <c r="B30" s="39" t="str">
        <f>IF('HM01-FormSource'!B12&gt;0,CONCATENATE("           ",'HM01-FormSource'!B12),CONCATENATE('HM01-FormSource'!A12,".- ",'HM01-FormSource'!C12))</f>
        <v xml:space="preserve">           G1</v>
      </c>
      <c r="C30" s="39"/>
      <c r="D30" s="39"/>
      <c r="E30" s="39"/>
      <c r="F30" s="39"/>
      <c r="G30" s="39"/>
      <c r="H30" s="39"/>
      <c r="I30" s="39"/>
      <c r="J30" s="39"/>
      <c r="K30" s="39"/>
      <c r="L30" s="39"/>
      <c r="M30" s="39"/>
      <c r="N30" s="39"/>
      <c r="O30" s="39"/>
      <c r="P30" s="32" t="str">
        <f>IF('HM01-FormSource'!D12&gt;0,CONCATENATE(Tabla2[[#Headers],[a)]],"  ",'HM01-FormSource'!D12),"")</f>
        <v/>
      </c>
      <c r="Q30" s="32"/>
      <c r="R30" s="32"/>
      <c r="S30" s="32" t="str">
        <f>IF('HM01-FormSource'!E12&gt;0,CONCATENATE(Tabla2[[#Headers],[b)]],"  ",'HM01-FormSource'!E12),"")</f>
        <v/>
      </c>
      <c r="T30" s="32"/>
      <c r="U30" s="32"/>
      <c r="V30" s="32" t="str">
        <f>IF('HM01-FormSource'!F12&gt;0,CONCATENATE(Tabla2[[#Headers],[c)]],"  ",'HM01-FormSource'!F12),"")</f>
        <v/>
      </c>
      <c r="W30" s="32"/>
      <c r="X30" s="32"/>
      <c r="Y30" s="32" t="str">
        <f>IF('HM01-FormSource'!G12&gt;0,CONCATENATE(Tabla2[[#Headers],[d)]],"  ",'HM01-FormSource'!G12),"")</f>
        <v/>
      </c>
      <c r="Z30" s="32"/>
      <c r="AA30" s="32"/>
      <c r="AB30" s="32" t="str">
        <f>IF('HM01-FormSource'!H12&gt;0,CONCATENATE(Tabla2[[#Headers],[e)]],"  ",'HM01-FormSource'!H12),"")</f>
        <v/>
      </c>
      <c r="AC30" s="32"/>
      <c r="AD30" s="32"/>
    </row>
    <row r="31" spans="1:30" ht="14.25" customHeight="1" x14ac:dyDescent="0.2">
      <c r="B31" s="65" t="str">
        <f>IF('HM01-FormSource'!B13&gt;0,CONCATENATE("       ",'HM01-FormSource'!B13),CONCATENATE('HM01-FormSource'!A13,".- ",'HM01-FormSource'!C13))</f>
        <v xml:space="preserve">10.- </v>
      </c>
      <c r="C31" s="65"/>
      <c r="D31" s="65"/>
      <c r="E31" s="65"/>
      <c r="F31" s="65"/>
      <c r="G31" s="65"/>
      <c r="H31" s="65"/>
      <c r="I31" s="65"/>
      <c r="J31" s="65"/>
      <c r="K31" s="65"/>
      <c r="L31" s="65"/>
      <c r="M31" s="65"/>
      <c r="N31" s="65"/>
      <c r="O31" s="65"/>
      <c r="P31" s="66" t="str">
        <f>IF('HM01-FormSource'!D13&gt;0,CONCATENATE(Tabla2[[#Headers],[a)]],"  ",'HM01-FormSource'!D13),"")</f>
        <v/>
      </c>
      <c r="Q31" s="66"/>
      <c r="R31" s="66"/>
      <c r="S31" s="66" t="str">
        <f>IF('HM01-FormSource'!E13&gt;0,CONCATENATE(Tabla2[[#Headers],[b)]],"  ",'HM01-FormSource'!E13),"")</f>
        <v/>
      </c>
      <c r="T31" s="66"/>
      <c r="U31" s="66"/>
      <c r="V31" s="66" t="str">
        <f>IF('HM01-FormSource'!F13&gt;0,CONCATENATE(Tabla2[[#Headers],[c)]],"  ",'HM01-FormSource'!F13),"")</f>
        <v/>
      </c>
      <c r="W31" s="66"/>
      <c r="X31" s="66"/>
      <c r="Y31" s="66" t="str">
        <f>IF('HM01-FormSource'!G13&gt;0,CONCATENATE(Tabla2[[#Headers],[d)]],"  ",'HM01-FormSource'!G13),"")</f>
        <v/>
      </c>
      <c r="Z31" s="66"/>
      <c r="AA31" s="66"/>
      <c r="AB31" s="66" t="str">
        <f>IF('HM01-FormSource'!H13&gt;0,CONCATENATE(Tabla2[[#Headers],[e)]],"  ",'HM01-FormSource'!H13),"")</f>
        <v/>
      </c>
      <c r="AC31" s="66"/>
      <c r="AD31" s="66"/>
    </row>
    <row r="32" spans="1:30" ht="14.25" customHeight="1" x14ac:dyDescent="0.2">
      <c r="B32" s="65" t="str">
        <f>IF('HM01-FormSource'!B14&gt;0,CONCATENATE("       ",'HM01-FormSource'!B14),CONCATENATE('HM01-FormSource'!A14,".- ",'HM01-FormSource'!C14))</f>
        <v xml:space="preserve">11.- </v>
      </c>
      <c r="C32" s="65"/>
      <c r="D32" s="65"/>
      <c r="E32" s="65"/>
      <c r="F32" s="65"/>
      <c r="G32" s="65"/>
      <c r="H32" s="65"/>
      <c r="I32" s="65"/>
      <c r="J32" s="65"/>
      <c r="K32" s="65"/>
      <c r="L32" s="65"/>
      <c r="M32" s="65"/>
      <c r="N32" s="65"/>
      <c r="O32" s="65"/>
      <c r="P32" s="66" t="str">
        <f>IF('HM01-FormSource'!D14&gt;0,CONCATENATE(Tabla2[[#Headers],[a)]],"  ",'HM01-FormSource'!D14),"")</f>
        <v/>
      </c>
      <c r="Q32" s="66"/>
      <c r="R32" s="66"/>
      <c r="S32" s="66" t="str">
        <f>IF('HM01-FormSource'!E14&gt;0,CONCATENATE(Tabla2[[#Headers],[b)]],"  ",'HM01-FormSource'!E14),"")</f>
        <v/>
      </c>
      <c r="T32" s="66"/>
      <c r="U32" s="66"/>
      <c r="V32" s="66" t="str">
        <f>IF('HM01-FormSource'!F14&gt;0,CONCATENATE(Tabla2[[#Headers],[c)]],"  ",'HM01-FormSource'!F14),"")</f>
        <v/>
      </c>
      <c r="W32" s="66"/>
      <c r="X32" s="66"/>
      <c r="Y32" s="66" t="str">
        <f>IF('HM01-FormSource'!G14&gt;0,CONCATENATE(Tabla2[[#Headers],[d)]],"  ",'HM01-FormSource'!G14),"")</f>
        <v/>
      </c>
      <c r="Z32" s="66"/>
      <c r="AA32" s="66"/>
      <c r="AB32" s="66" t="str">
        <f>IF('HM01-FormSource'!H14&gt;0,CONCATENATE(Tabla2[[#Headers],[e)]],"  ",'HM01-FormSource'!H14),"")</f>
        <v/>
      </c>
      <c r="AC32" s="66"/>
      <c r="AD32" s="66"/>
    </row>
    <row r="33" spans="2:30" ht="13.5" customHeight="1" x14ac:dyDescent="0.2">
      <c r="B33" s="65" t="str">
        <f>IF('HM01-FormSource'!B15&gt;0,CONCATENATE("       ",'HM01-FormSource'!B15),CONCATENATE('HM01-FormSource'!A15,".- ",'HM01-FormSource'!C15))</f>
        <v xml:space="preserve">12.- </v>
      </c>
      <c r="C33" s="65"/>
      <c r="D33" s="65"/>
      <c r="E33" s="65"/>
      <c r="F33" s="65"/>
      <c r="G33" s="65"/>
      <c r="H33" s="65"/>
      <c r="I33" s="65"/>
      <c r="J33" s="65"/>
      <c r="K33" s="65"/>
      <c r="L33" s="65"/>
      <c r="M33" s="65"/>
      <c r="N33" s="65"/>
      <c r="O33" s="65"/>
      <c r="P33" s="66" t="str">
        <f>IF('HM01-FormSource'!D15&gt;0,CONCATENATE(Tabla2[[#Headers],[a)]],"  ",'HM01-FormSource'!D15),"")</f>
        <v/>
      </c>
      <c r="Q33" s="66"/>
      <c r="R33" s="66"/>
      <c r="S33" s="66" t="str">
        <f>IF('HM01-FormSource'!E15&gt;0,CONCATENATE(Tabla2[[#Headers],[b)]],"  ",'HM01-FormSource'!E15),"")</f>
        <v/>
      </c>
      <c r="T33" s="66"/>
      <c r="U33" s="66"/>
      <c r="V33" s="66" t="str">
        <f>IF('HM01-FormSource'!F15&gt;0,CONCATENATE(Tabla2[[#Headers],[c)]],"  ",'HM01-FormSource'!F15),"")</f>
        <v/>
      </c>
      <c r="W33" s="66"/>
      <c r="X33" s="66"/>
      <c r="Y33" s="66" t="str">
        <f>IF('HM01-FormSource'!G15&gt;0,CONCATENATE(Tabla2[[#Headers],[d)]],"  ",'HM01-FormSource'!G15),"")</f>
        <v/>
      </c>
      <c r="Z33" s="66"/>
      <c r="AA33" s="66"/>
      <c r="AB33" s="66" t="str">
        <f>IF('HM01-FormSource'!H15&gt;0,CONCATENATE(Tabla2[[#Headers],[e)]],"  ",'HM01-FormSource'!H15),"")</f>
        <v/>
      </c>
      <c r="AC33" s="66"/>
      <c r="AD33" s="66"/>
    </row>
    <row r="34" spans="2:30" ht="13.5" customHeight="1" x14ac:dyDescent="0.2">
      <c r="B34" s="65" t="str">
        <f>IF('HM01-FormSource'!B16&gt;0,CONCATENATE("       ",'HM01-FormSource'!B16),CONCATENATE('HM01-FormSource'!A16,".- ",'HM01-FormSource'!C16))</f>
        <v xml:space="preserve">13.- </v>
      </c>
      <c r="C34" s="65"/>
      <c r="D34" s="65"/>
      <c r="E34" s="65"/>
      <c r="F34" s="65"/>
      <c r="G34" s="65"/>
      <c r="H34" s="65"/>
      <c r="I34" s="65"/>
      <c r="J34" s="65"/>
      <c r="K34" s="65"/>
      <c r="L34" s="65"/>
      <c r="M34" s="65"/>
      <c r="N34" s="65"/>
      <c r="O34" s="65"/>
      <c r="P34" s="66" t="str">
        <f>IF('HM01-FormSource'!D16&gt;0,CONCATENATE(Tabla2[[#Headers],[a)]],"  ",'HM01-FormSource'!D16),"")</f>
        <v/>
      </c>
      <c r="Q34" s="66"/>
      <c r="R34" s="66"/>
      <c r="S34" s="66" t="str">
        <f>IF('HM01-FormSource'!E16&gt;0,CONCATENATE(Tabla2[[#Headers],[b)]],"  ",'HM01-FormSource'!E16),"")</f>
        <v/>
      </c>
      <c r="T34" s="66"/>
      <c r="U34" s="66"/>
      <c r="V34" s="66" t="str">
        <f>IF('HM01-FormSource'!F16&gt;0,CONCATENATE(Tabla2[[#Headers],[c)]],"  ",'HM01-FormSource'!F16),"")</f>
        <v/>
      </c>
      <c r="W34" s="66"/>
      <c r="X34" s="66"/>
      <c r="Y34" s="66" t="str">
        <f>IF('HM01-FormSource'!G16&gt;0,CONCATENATE(Tabla2[[#Headers],[d)]],"  ",'HM01-FormSource'!G16),"")</f>
        <v/>
      </c>
      <c r="Z34" s="66"/>
      <c r="AA34" s="66"/>
      <c r="AB34" s="66" t="str">
        <f>IF('HM01-FormSource'!H16&gt;0,CONCATENATE(Tabla2[[#Headers],[e)]],"  ",'HM01-FormSource'!H16),"")</f>
        <v/>
      </c>
      <c r="AC34" s="66"/>
      <c r="AD34" s="66"/>
    </row>
    <row r="35" spans="2:30" ht="13.5" customHeight="1" x14ac:dyDescent="0.2">
      <c r="B35" s="65" t="str">
        <f>IF('HM01-FormSource'!B17&gt;0,CONCATENATE("       ",'HM01-FormSource'!B17),CONCATENATE('HM01-FormSource'!A17,".- ",'HM01-FormSource'!C17))</f>
        <v xml:space="preserve">14.- </v>
      </c>
      <c r="C35" s="65"/>
      <c r="D35" s="65"/>
      <c r="E35" s="65"/>
      <c r="F35" s="65"/>
      <c r="G35" s="65"/>
      <c r="H35" s="65"/>
      <c r="I35" s="65"/>
      <c r="J35" s="65"/>
      <c r="K35" s="65"/>
      <c r="L35" s="65"/>
      <c r="M35" s="65"/>
      <c r="N35" s="65"/>
      <c r="O35" s="65"/>
      <c r="P35" s="66" t="str">
        <f>IF('HM01-FormSource'!D17&gt;0,CONCATENATE(Tabla2[[#Headers],[a)]],"  ",'HM01-FormSource'!D17),"")</f>
        <v/>
      </c>
      <c r="Q35" s="66"/>
      <c r="R35" s="66"/>
      <c r="S35" s="66" t="str">
        <f>IF('HM01-FormSource'!E17&gt;0,CONCATENATE(Tabla2[[#Headers],[b)]],"  ",'HM01-FormSource'!E17),"")</f>
        <v/>
      </c>
      <c r="T35" s="66"/>
      <c r="U35" s="66"/>
      <c r="V35" s="66" t="str">
        <f>IF('HM01-FormSource'!F17&gt;0,CONCATENATE(Tabla2[[#Headers],[c)]],"  ",'HM01-FormSource'!F17),"")</f>
        <v/>
      </c>
      <c r="W35" s="66"/>
      <c r="X35" s="66"/>
      <c r="Y35" s="66" t="str">
        <f>IF('HM01-FormSource'!G17&gt;0,CONCATENATE(Tabla2[[#Headers],[d)]],"  ",'HM01-FormSource'!G17),"")</f>
        <v/>
      </c>
      <c r="Z35" s="66"/>
      <c r="AA35" s="66"/>
      <c r="AB35" s="66" t="str">
        <f>IF('HM01-FormSource'!H17&gt;0,CONCATENATE(Tabla2[[#Headers],[e)]],"  ",'HM01-FormSource'!H17),"")</f>
        <v/>
      </c>
      <c r="AC35" s="66"/>
      <c r="AD35" s="66"/>
    </row>
    <row r="36" spans="2:30" ht="13.5" customHeight="1" x14ac:dyDescent="0.2">
      <c r="B36" s="65" t="str">
        <f>IF('HM01-FormSource'!B18&gt;0,CONCATENATE("       ",'HM01-FormSource'!B18),CONCATENATE('HM01-FormSource'!A18,".- ",'HM01-FormSource'!C18))</f>
        <v xml:space="preserve">15.- </v>
      </c>
      <c r="C36" s="65"/>
      <c r="D36" s="65"/>
      <c r="E36" s="65"/>
      <c r="F36" s="65"/>
      <c r="G36" s="65"/>
      <c r="H36" s="65"/>
      <c r="I36" s="65"/>
      <c r="J36" s="65"/>
      <c r="K36" s="65"/>
      <c r="L36" s="65"/>
      <c r="M36" s="65"/>
      <c r="N36" s="65"/>
      <c r="O36" s="65"/>
      <c r="P36" s="66" t="str">
        <f>IF('HM01-FormSource'!D18&gt;0,CONCATENATE(Tabla2[[#Headers],[a)]],"  ",'HM01-FormSource'!D18),"")</f>
        <v/>
      </c>
      <c r="Q36" s="66"/>
      <c r="R36" s="66"/>
      <c r="S36" s="66" t="str">
        <f>IF('HM01-FormSource'!E18&gt;0,CONCATENATE(Tabla2[[#Headers],[b)]],"  ",'HM01-FormSource'!E18),"")</f>
        <v/>
      </c>
      <c r="T36" s="66"/>
      <c r="U36" s="66"/>
      <c r="V36" s="66" t="str">
        <f>IF('HM01-FormSource'!F18&gt;0,CONCATENATE(Tabla2[[#Headers],[c)]],"  ",'HM01-FormSource'!F18),"")</f>
        <v/>
      </c>
      <c r="W36" s="66"/>
      <c r="X36" s="66"/>
      <c r="Y36" s="66" t="str">
        <f>IF('HM01-FormSource'!G18&gt;0,CONCATENATE(Tabla2[[#Headers],[d)]],"  ",'HM01-FormSource'!G18),"")</f>
        <v/>
      </c>
      <c r="Z36" s="66"/>
      <c r="AA36" s="66"/>
      <c r="AB36" s="66" t="str">
        <f>IF('HM01-FormSource'!H18&gt;0,CONCATENATE(Tabla2[[#Headers],[e)]],"  ",'HM01-FormSource'!H18),"")</f>
        <v/>
      </c>
      <c r="AC36" s="66"/>
      <c r="AD36" s="66"/>
    </row>
    <row r="37" spans="2:30" ht="13.5" customHeight="1" x14ac:dyDescent="0.2">
      <c r="B37" s="65" t="str">
        <f>IF('HM01-FormSource'!B19&gt;0,CONCATENATE("       ",'HM01-FormSource'!B19),CONCATENATE('HM01-FormSource'!A19,".- ",'HM01-FormSource'!C19))</f>
        <v xml:space="preserve">16.- </v>
      </c>
      <c r="C37" s="65"/>
      <c r="D37" s="65"/>
      <c r="E37" s="65"/>
      <c r="F37" s="65"/>
      <c r="G37" s="65"/>
      <c r="H37" s="65"/>
      <c r="I37" s="65"/>
      <c r="J37" s="65"/>
      <c r="K37" s="65"/>
      <c r="L37" s="65"/>
      <c r="M37" s="65"/>
      <c r="N37" s="65"/>
      <c r="O37" s="65"/>
      <c r="P37" s="66" t="str">
        <f>IF('HM01-FormSource'!D19&gt;0,CONCATENATE(Tabla2[[#Headers],[a)]],"  ",'HM01-FormSource'!D19),"")</f>
        <v/>
      </c>
      <c r="Q37" s="66"/>
      <c r="R37" s="66"/>
      <c r="S37" s="66" t="str">
        <f>IF('HM01-FormSource'!E19&gt;0,CONCATENATE(Tabla2[[#Headers],[b)]],"  ",'HM01-FormSource'!E19),"")</f>
        <v/>
      </c>
      <c r="T37" s="66"/>
      <c r="U37" s="66"/>
      <c r="V37" s="66" t="str">
        <f>IF('HM01-FormSource'!F19&gt;0,CONCATENATE(Tabla2[[#Headers],[c)]],"  ",'HM01-FormSource'!F19),"")</f>
        <v/>
      </c>
      <c r="W37" s="66"/>
      <c r="X37" s="66"/>
      <c r="Y37" s="66" t="str">
        <f>IF('HM01-FormSource'!G19&gt;0,CONCATENATE(Tabla2[[#Headers],[d)]],"  ",'HM01-FormSource'!G19),"")</f>
        <v/>
      </c>
      <c r="Z37" s="66"/>
      <c r="AA37" s="66"/>
      <c r="AB37" s="66" t="str">
        <f>IF('HM01-FormSource'!H19&gt;0,CONCATENATE(Tabla2[[#Headers],[e)]],"  ",'HM01-FormSource'!H19),"")</f>
        <v/>
      </c>
      <c r="AC37" s="66"/>
      <c r="AD37" s="66"/>
    </row>
    <row r="38" spans="2:30" ht="13.5" customHeight="1" x14ac:dyDescent="0.2">
      <c r="B38" s="65" t="str">
        <f>IF('HM01-FormSource'!B20&gt;0,CONCATENATE("       ",'HM01-FormSource'!B20),CONCATENATE('HM01-FormSource'!A20,".- ",'HM01-FormSource'!C20))</f>
        <v xml:space="preserve">17.- </v>
      </c>
      <c r="C38" s="65"/>
      <c r="D38" s="65"/>
      <c r="E38" s="65"/>
      <c r="F38" s="65"/>
      <c r="G38" s="65"/>
      <c r="H38" s="65"/>
      <c r="I38" s="65"/>
      <c r="J38" s="65"/>
      <c r="K38" s="65"/>
      <c r="L38" s="65"/>
      <c r="M38" s="65"/>
      <c r="N38" s="65"/>
      <c r="O38" s="65"/>
      <c r="P38" s="66" t="str">
        <f>IF('HM01-FormSource'!D20&gt;0,CONCATENATE(Tabla2[[#Headers],[a)]],"  ",'HM01-FormSource'!D20),"")</f>
        <v/>
      </c>
      <c r="Q38" s="66"/>
      <c r="R38" s="66"/>
      <c r="S38" s="66" t="str">
        <f>IF('HM01-FormSource'!E20&gt;0,CONCATENATE(Tabla2[[#Headers],[b)]],"  ",'HM01-FormSource'!E20),"")</f>
        <v/>
      </c>
      <c r="T38" s="66"/>
      <c r="U38" s="66"/>
      <c r="V38" s="66" t="str">
        <f>IF('HM01-FormSource'!F20&gt;0,CONCATENATE(Tabla2[[#Headers],[c)]],"  ",'HM01-FormSource'!F20),"")</f>
        <v/>
      </c>
      <c r="W38" s="66"/>
      <c r="X38" s="66"/>
      <c r="Y38" s="66" t="str">
        <f>IF('HM01-FormSource'!G20&gt;0,CONCATENATE(Tabla2[[#Headers],[d)]],"  ",'HM01-FormSource'!G20),"")</f>
        <v/>
      </c>
      <c r="Z38" s="66"/>
      <c r="AA38" s="66"/>
      <c r="AB38" s="66" t="str">
        <f>IF('HM01-FormSource'!H20&gt;0,CONCATENATE(Tabla2[[#Headers],[e)]],"  ",'HM01-FormSource'!H20),"")</f>
        <v/>
      </c>
      <c r="AC38" s="66"/>
      <c r="AD38" s="66"/>
    </row>
    <row r="39" spans="2:30" ht="13.5" customHeight="1" x14ac:dyDescent="0.2">
      <c r="B39" s="67" t="str">
        <f>IF('HM01-FormSource'!B21&gt;0,CONCATENATE("       ",'HM01-FormSource'!B21),CONCATENATE('HM01-FormSource'!A21,".- ",'HM01-FormSource'!C21))</f>
        <v xml:space="preserve">18.- </v>
      </c>
      <c r="C39" s="67"/>
      <c r="D39" s="67"/>
      <c r="E39" s="67"/>
      <c r="F39" s="67"/>
      <c r="G39" s="67"/>
      <c r="H39" s="67"/>
      <c r="I39" s="67"/>
      <c r="J39" s="67"/>
      <c r="K39" s="67"/>
      <c r="L39" s="67"/>
      <c r="M39" s="67"/>
      <c r="N39" s="67"/>
      <c r="O39" s="67"/>
      <c r="P39" s="68" t="str">
        <f>IF('HM01-FormSource'!D21&gt;0,CONCATENATE(Tabla2[[#Headers],[a)]],"  ",'HM01-FormSource'!D21),"")</f>
        <v/>
      </c>
      <c r="Q39" s="68"/>
      <c r="R39" s="68"/>
      <c r="S39" s="68" t="str">
        <f>IF('HM01-FormSource'!E21&gt;0,CONCATENATE(Tabla2[[#Headers],[b)]],"  ",'HM01-FormSource'!E21),"")</f>
        <v/>
      </c>
      <c r="T39" s="68"/>
      <c r="U39" s="68"/>
      <c r="V39" s="68" t="str">
        <f>IF('HM01-FormSource'!F21&gt;0,CONCATENATE(Tabla2[[#Headers],[c)]],"  ",'HM01-FormSource'!F21),"")</f>
        <v/>
      </c>
      <c r="W39" s="68"/>
      <c r="X39" s="68"/>
      <c r="Y39" s="68" t="str">
        <f>IF('HM01-FormSource'!G21&gt;0,CONCATENATE(Tabla2[[#Headers],[d)]],"  ",'HM01-FormSource'!G21),"")</f>
        <v/>
      </c>
      <c r="Z39" s="68"/>
      <c r="AA39" s="68"/>
      <c r="AB39" s="68" t="str">
        <f>IF('HM01-FormSource'!H21&gt;0,CONCATENATE(Tabla2[[#Headers],[e)]],"  ",'HM01-FormSource'!H21),"")</f>
        <v/>
      </c>
      <c r="AC39" s="68"/>
      <c r="AD39" s="68"/>
    </row>
    <row r="40" spans="2:30" ht="13.5" customHeight="1" x14ac:dyDescent="0.2">
      <c r="B40" s="67" t="str">
        <f>IF('HM01-FormSource'!B22&gt;0,CONCATENATE("       ",'HM01-FormSource'!B22),CONCATENATE('HM01-FormSource'!A22,".- ",'HM01-FormSource'!C22))</f>
        <v xml:space="preserve">19.- </v>
      </c>
      <c r="C40" s="67"/>
      <c r="D40" s="67"/>
      <c r="E40" s="67"/>
      <c r="F40" s="67"/>
      <c r="G40" s="67"/>
      <c r="H40" s="67"/>
      <c r="I40" s="67"/>
      <c r="J40" s="67"/>
      <c r="K40" s="67"/>
      <c r="L40" s="67"/>
      <c r="M40" s="67"/>
      <c r="N40" s="67"/>
      <c r="O40" s="67"/>
      <c r="P40" s="68" t="str">
        <f>IF('HM01-FormSource'!D22&gt;0,CONCATENATE(Tabla2[[#Headers],[a)]],"  ",'HM01-FormSource'!D22),"")</f>
        <v/>
      </c>
      <c r="Q40" s="68"/>
      <c r="R40" s="68"/>
      <c r="S40" s="68" t="str">
        <f>IF('HM01-FormSource'!E22&gt;0,CONCATENATE(Tabla2[[#Headers],[b)]],"  ",'HM01-FormSource'!E22),"")</f>
        <v/>
      </c>
      <c r="T40" s="68"/>
      <c r="U40" s="68"/>
      <c r="V40" s="68" t="str">
        <f>IF('HM01-FormSource'!F22&gt;0,CONCATENATE(Tabla2[[#Headers],[c)]],"  ",'HM01-FormSource'!F22),"")</f>
        <v/>
      </c>
      <c r="W40" s="68"/>
      <c r="X40" s="68"/>
      <c r="Y40" s="68" t="str">
        <f>IF('HM01-FormSource'!G22&gt;0,CONCATENATE(Tabla2[[#Headers],[d)]],"  ",'HM01-FormSource'!G22),"")</f>
        <v/>
      </c>
      <c r="Z40" s="68"/>
      <c r="AA40" s="68"/>
      <c r="AB40" s="68" t="str">
        <f>IF('HM01-FormSource'!H22&gt;0,CONCATENATE(Tabla2[[#Headers],[e)]],"  ",'HM01-FormSource'!H22),"")</f>
        <v/>
      </c>
      <c r="AC40" s="68"/>
      <c r="AD40" s="68"/>
    </row>
    <row r="41" spans="2:30" ht="13.5" customHeight="1" x14ac:dyDescent="0.2">
      <c r="B41" s="39" t="str">
        <f>IF('HM01-FormSource'!B23&gt;0,CONCATENATE("           ",'HM01-FormSource'!B23),CONCATENATE('HM01-FormSource'!A23,".- ",'HM01-FormSource'!C23))</f>
        <v xml:space="preserve">           G2</v>
      </c>
      <c r="C41" s="39"/>
      <c r="D41" s="39"/>
      <c r="E41" s="39"/>
      <c r="F41" s="39"/>
      <c r="G41" s="39"/>
      <c r="H41" s="39"/>
      <c r="I41" s="39"/>
      <c r="J41" s="39"/>
      <c r="K41" s="39"/>
      <c r="L41" s="39"/>
      <c r="M41" s="39"/>
      <c r="N41" s="39"/>
      <c r="O41" s="39"/>
      <c r="P41" s="32" t="str">
        <f>IF('HM01-FormSource'!D23&gt;0,CONCATENATE(Tabla2[[#Headers],[a)]],"  ",'HM01-FormSource'!D23),"")</f>
        <v/>
      </c>
      <c r="Q41" s="32"/>
      <c r="R41" s="32"/>
      <c r="S41" s="32" t="str">
        <f>IF('HM01-FormSource'!E23&gt;0,CONCATENATE(Tabla2[[#Headers],[b)]],"  ",'HM01-FormSource'!E23),"")</f>
        <v/>
      </c>
      <c r="T41" s="32"/>
      <c r="U41" s="32"/>
      <c r="V41" s="32" t="str">
        <f>IF('HM01-FormSource'!F23&gt;0,CONCATENATE(Tabla2[[#Headers],[c)]],"  ",'HM01-FormSource'!F23),"")</f>
        <v/>
      </c>
      <c r="W41" s="32"/>
      <c r="X41" s="32"/>
      <c r="Y41" s="32" t="str">
        <f>IF('HM01-FormSource'!G23&gt;0,CONCATENATE(Tabla2[[#Headers],[d)]],"  ",'HM01-FormSource'!G23),"")</f>
        <v/>
      </c>
      <c r="Z41" s="32"/>
      <c r="AA41" s="32"/>
      <c r="AB41" s="32" t="str">
        <f>IF('HM01-FormSource'!H23&gt;0,CONCATENATE(Tabla2[[#Headers],[e)]],"  ",'HM01-FormSource'!H23),"")</f>
        <v/>
      </c>
      <c r="AC41" s="32"/>
      <c r="AD41" s="32"/>
    </row>
    <row r="42" spans="2:30" ht="13.5" customHeight="1" x14ac:dyDescent="0.2">
      <c r="B42" s="65" t="str">
        <f>IF('HM01-FormSource'!B24&gt;0,CONCATENATE("       ",'HM01-FormSource'!B24),CONCATENATE('HM01-FormSource'!A24,".- ",'HM01-FormSource'!C24))</f>
        <v xml:space="preserve">20.- </v>
      </c>
      <c r="C42" s="65"/>
      <c r="D42" s="65"/>
      <c r="E42" s="65"/>
      <c r="F42" s="65"/>
      <c r="G42" s="65"/>
      <c r="H42" s="65"/>
      <c r="I42" s="65"/>
      <c r="J42" s="65"/>
      <c r="K42" s="65"/>
      <c r="L42" s="65"/>
      <c r="M42" s="65"/>
      <c r="N42" s="65"/>
      <c r="O42" s="65"/>
      <c r="P42" s="66" t="str">
        <f>IF('HM01-FormSource'!D24&gt;0,CONCATENATE(Tabla2[[#Headers],[a)]],"  ",'HM01-FormSource'!D24),"")</f>
        <v/>
      </c>
      <c r="Q42" s="66"/>
      <c r="R42" s="66"/>
      <c r="S42" s="66" t="str">
        <f>IF('HM01-FormSource'!E24&gt;0,CONCATENATE(Tabla2[[#Headers],[b)]],"  ",'HM01-FormSource'!E24),"")</f>
        <v/>
      </c>
      <c r="T42" s="66"/>
      <c r="U42" s="66"/>
      <c r="V42" s="66" t="str">
        <f>IF('HM01-FormSource'!F24&gt;0,CONCATENATE(Tabla2[[#Headers],[c)]],"  ",'HM01-FormSource'!F24),"")</f>
        <v/>
      </c>
      <c r="W42" s="66"/>
      <c r="X42" s="66"/>
      <c r="Y42" s="66" t="str">
        <f>IF('HM01-FormSource'!G24&gt;0,CONCATENATE(Tabla2[[#Headers],[d)]],"  ",'HM01-FormSource'!G24),"")</f>
        <v/>
      </c>
      <c r="Z42" s="66"/>
      <c r="AA42" s="66"/>
      <c r="AB42" s="66" t="str">
        <f>IF('HM01-FormSource'!H24&gt;0,CONCATENATE(Tabla2[[#Headers],[e)]],"  ",'HM01-FormSource'!H24),"")</f>
        <v/>
      </c>
      <c r="AC42" s="66"/>
      <c r="AD42" s="66"/>
    </row>
    <row r="43" spans="2:30" ht="13.5" customHeight="1" x14ac:dyDescent="0.2">
      <c r="B43" s="65" t="str">
        <f>IF('HM01-FormSource'!B25&gt;0,CONCATENATE("       ",'HM01-FormSource'!B25),CONCATENATE('HM01-FormSource'!A25,".- ",'HM01-FormSource'!C25))</f>
        <v xml:space="preserve">21.- </v>
      </c>
      <c r="C43" s="65"/>
      <c r="D43" s="65"/>
      <c r="E43" s="65"/>
      <c r="F43" s="65"/>
      <c r="G43" s="65"/>
      <c r="H43" s="65"/>
      <c r="I43" s="65"/>
      <c r="J43" s="65"/>
      <c r="K43" s="65"/>
      <c r="L43" s="65"/>
      <c r="M43" s="65"/>
      <c r="N43" s="65"/>
      <c r="O43" s="65"/>
      <c r="P43" s="66" t="str">
        <f>IF('HM01-FormSource'!D25&gt;0,CONCATENATE(Tabla2[[#Headers],[a)]],"  ",'HM01-FormSource'!D25),"")</f>
        <v/>
      </c>
      <c r="Q43" s="66"/>
      <c r="R43" s="66"/>
      <c r="S43" s="66" t="str">
        <f>IF('HM01-FormSource'!E25&gt;0,CONCATENATE(Tabla2[[#Headers],[b)]],"  ",'HM01-FormSource'!E25),"")</f>
        <v/>
      </c>
      <c r="T43" s="66"/>
      <c r="U43" s="66"/>
      <c r="V43" s="66" t="str">
        <f>IF('HM01-FormSource'!F25&gt;0,CONCATENATE(Tabla2[[#Headers],[c)]],"  ",'HM01-FormSource'!F25),"")</f>
        <v/>
      </c>
      <c r="W43" s="66"/>
      <c r="X43" s="66"/>
      <c r="Y43" s="66" t="str">
        <f>IF('HM01-FormSource'!G25&gt;0,CONCATENATE(Tabla2[[#Headers],[d)]],"  ",'HM01-FormSource'!G25),"")</f>
        <v/>
      </c>
      <c r="Z43" s="66"/>
      <c r="AA43" s="66"/>
      <c r="AB43" s="66" t="str">
        <f>IF('HM01-FormSource'!H25&gt;0,CONCATENATE(Tabla2[[#Headers],[e)]],"  ",'HM01-FormSource'!H25),"")</f>
        <v/>
      </c>
      <c r="AC43" s="66"/>
      <c r="AD43" s="66"/>
    </row>
    <row r="44" spans="2:30" ht="13.5" customHeight="1" x14ac:dyDescent="0.2">
      <c r="B44" s="65" t="str">
        <f>IF('HM01-FormSource'!B26&gt;0,CONCATENATE("       ",'HM01-FormSource'!B26),CONCATENATE('HM01-FormSource'!A26,".- ",'HM01-FormSource'!C26))</f>
        <v xml:space="preserve">22.- </v>
      </c>
      <c r="C44" s="65"/>
      <c r="D44" s="65"/>
      <c r="E44" s="65"/>
      <c r="F44" s="65"/>
      <c r="G44" s="65"/>
      <c r="H44" s="65"/>
      <c r="I44" s="65"/>
      <c r="J44" s="65"/>
      <c r="K44" s="65"/>
      <c r="L44" s="65"/>
      <c r="M44" s="65"/>
      <c r="N44" s="65"/>
      <c r="O44" s="65"/>
      <c r="P44" s="66" t="str">
        <f>IF('HM01-FormSource'!D26&gt;0,CONCATENATE(Tabla2[[#Headers],[a)]],"  ",'HM01-FormSource'!D26),"")</f>
        <v/>
      </c>
      <c r="Q44" s="66"/>
      <c r="R44" s="66"/>
      <c r="S44" s="66" t="str">
        <f>IF('HM01-FormSource'!E26&gt;0,CONCATENATE(Tabla2[[#Headers],[b)]],"  ",'HM01-FormSource'!E26),"")</f>
        <v/>
      </c>
      <c r="T44" s="66"/>
      <c r="U44" s="66"/>
      <c r="V44" s="66" t="str">
        <f>IF('HM01-FormSource'!F26&gt;0,CONCATENATE(Tabla2[[#Headers],[c)]],"  ",'HM01-FormSource'!F26),"")</f>
        <v/>
      </c>
      <c r="W44" s="66"/>
      <c r="X44" s="66"/>
      <c r="Y44" s="66" t="str">
        <f>IF('HM01-FormSource'!G26&gt;0,CONCATENATE(Tabla2[[#Headers],[d)]],"  ",'HM01-FormSource'!G26),"")</f>
        <v/>
      </c>
      <c r="Z44" s="66"/>
      <c r="AA44" s="66"/>
      <c r="AB44" s="66" t="str">
        <f>IF('HM01-FormSource'!H26&gt;0,CONCATENATE(Tabla2[[#Headers],[e)]],"  ",'HM01-FormSource'!H26),"")</f>
        <v/>
      </c>
      <c r="AC44" s="66"/>
      <c r="AD44" s="66"/>
    </row>
    <row r="45" spans="2:30" ht="13.5" customHeight="1" x14ac:dyDescent="0.2">
      <c r="B45" s="65" t="str">
        <f>IF('HM01-FormSource'!B27&gt;0,CONCATENATE("       ",'HM01-FormSource'!B27),CONCATENATE('HM01-FormSource'!A27,".- ",'HM01-FormSource'!C27))</f>
        <v xml:space="preserve">23.- </v>
      </c>
      <c r="C45" s="65"/>
      <c r="D45" s="65"/>
      <c r="E45" s="65"/>
      <c r="F45" s="65"/>
      <c r="G45" s="65"/>
      <c r="H45" s="65"/>
      <c r="I45" s="65"/>
      <c r="J45" s="65"/>
      <c r="K45" s="65"/>
      <c r="L45" s="65"/>
      <c r="M45" s="65"/>
      <c r="N45" s="65"/>
      <c r="O45" s="65"/>
      <c r="P45" s="66" t="str">
        <f>IF('HM01-FormSource'!D27&gt;0,CONCATENATE(Tabla2[[#Headers],[a)]],"  ",'HM01-FormSource'!D27),"")</f>
        <v/>
      </c>
      <c r="Q45" s="66"/>
      <c r="R45" s="66"/>
      <c r="S45" s="66" t="str">
        <f>IF('HM01-FormSource'!E27&gt;0,CONCATENATE(Tabla2[[#Headers],[b)]],"  ",'HM01-FormSource'!E27),"")</f>
        <v/>
      </c>
      <c r="T45" s="66"/>
      <c r="U45" s="66"/>
      <c r="V45" s="66" t="str">
        <f>IF('HM01-FormSource'!F27&gt;0,CONCATENATE(Tabla2[[#Headers],[c)]],"  ",'HM01-FormSource'!F27),"")</f>
        <v/>
      </c>
      <c r="W45" s="66"/>
      <c r="X45" s="66"/>
      <c r="Y45" s="66" t="str">
        <f>IF('HM01-FormSource'!G27&gt;0,CONCATENATE(Tabla2[[#Headers],[d)]],"  ",'HM01-FormSource'!G27),"")</f>
        <v/>
      </c>
      <c r="Z45" s="66"/>
      <c r="AA45" s="66"/>
      <c r="AB45" s="66" t="str">
        <f>IF('HM01-FormSource'!H27&gt;0,CONCATENATE(Tabla2[[#Headers],[e)]],"  ",'HM01-FormSource'!H27),"")</f>
        <v/>
      </c>
      <c r="AC45" s="66"/>
      <c r="AD45" s="66"/>
    </row>
    <row r="46" spans="2:30" ht="13.5" customHeight="1" x14ac:dyDescent="0.2">
      <c r="B46" s="65" t="str">
        <f>IF('HM01-FormSource'!B28&gt;0,CONCATENATE("       ",'HM01-FormSource'!B28),CONCATENATE('HM01-FormSource'!A28,".- ",'HM01-FormSource'!C28))</f>
        <v xml:space="preserve">24.- </v>
      </c>
      <c r="C46" s="65"/>
      <c r="D46" s="65"/>
      <c r="E46" s="65"/>
      <c r="F46" s="65"/>
      <c r="G46" s="65"/>
      <c r="H46" s="65"/>
      <c r="I46" s="65"/>
      <c r="J46" s="65"/>
      <c r="K46" s="65"/>
      <c r="L46" s="65"/>
      <c r="M46" s="65"/>
      <c r="N46" s="65"/>
      <c r="O46" s="65"/>
      <c r="P46" s="66" t="str">
        <f>IF('HM01-FormSource'!D28&gt;0,CONCATENATE(Tabla2[[#Headers],[a)]],"  ",'HM01-FormSource'!D28),"")</f>
        <v/>
      </c>
      <c r="Q46" s="66"/>
      <c r="R46" s="66"/>
      <c r="S46" s="66" t="str">
        <f>IF('HM01-FormSource'!E28&gt;0,CONCATENATE(Tabla2[[#Headers],[b)]],"  ",'HM01-FormSource'!E28),"")</f>
        <v/>
      </c>
      <c r="T46" s="66"/>
      <c r="U46" s="66"/>
      <c r="V46" s="66" t="str">
        <f>IF('HM01-FormSource'!F28&gt;0,CONCATENATE(Tabla2[[#Headers],[c)]],"  ",'HM01-FormSource'!F28),"")</f>
        <v/>
      </c>
      <c r="W46" s="66"/>
      <c r="X46" s="66"/>
      <c r="Y46" s="66" t="str">
        <f>IF('HM01-FormSource'!G28&gt;0,CONCATENATE(Tabla2[[#Headers],[d)]],"  ",'HM01-FormSource'!G28),"")</f>
        <v/>
      </c>
      <c r="Z46" s="66"/>
      <c r="AA46" s="66"/>
      <c r="AB46" s="66" t="str">
        <f>IF('HM01-FormSource'!H28&gt;0,CONCATENATE(Tabla2[[#Headers],[e)]],"  ",'HM01-FormSource'!H28),"")</f>
        <v/>
      </c>
      <c r="AC46" s="66"/>
      <c r="AD46" s="66"/>
    </row>
    <row r="47" spans="2:30" ht="13.5" customHeight="1" x14ac:dyDescent="0.2">
      <c r="B47" s="65" t="str">
        <f>IF('HM01-FormSource'!B29&gt;0,CONCATENATE("       ",'HM01-FormSource'!B29),CONCATENATE('HM01-FormSource'!A29,".- ",'HM01-FormSource'!C29))</f>
        <v xml:space="preserve">25.- </v>
      </c>
      <c r="C47" s="65"/>
      <c r="D47" s="65"/>
      <c r="E47" s="65"/>
      <c r="F47" s="65"/>
      <c r="G47" s="65"/>
      <c r="H47" s="65"/>
      <c r="I47" s="65"/>
      <c r="J47" s="65"/>
      <c r="K47" s="65"/>
      <c r="L47" s="65"/>
      <c r="M47" s="65"/>
      <c r="N47" s="65"/>
      <c r="O47" s="65"/>
      <c r="P47" s="66" t="str">
        <f>IF('HM01-FormSource'!D29&gt;0,CONCATENATE(Tabla2[[#Headers],[a)]],"  ",'HM01-FormSource'!D29),"")</f>
        <v/>
      </c>
      <c r="Q47" s="66"/>
      <c r="R47" s="66"/>
      <c r="S47" s="66" t="str">
        <f>IF('HM01-FormSource'!E29&gt;0,CONCATENATE(Tabla2[[#Headers],[b)]],"  ",'HM01-FormSource'!E29),"")</f>
        <v/>
      </c>
      <c r="T47" s="66"/>
      <c r="U47" s="66"/>
      <c r="V47" s="66" t="str">
        <f>IF('HM01-FormSource'!F29&gt;0,CONCATENATE(Tabla2[[#Headers],[c)]],"  ",'HM01-FormSource'!F29),"")</f>
        <v/>
      </c>
      <c r="W47" s="66"/>
      <c r="X47" s="66"/>
      <c r="Y47" s="66" t="str">
        <f>IF('HM01-FormSource'!G29&gt;0,CONCATENATE(Tabla2[[#Headers],[d)]],"  ",'HM01-FormSource'!G29),"")</f>
        <v/>
      </c>
      <c r="Z47" s="66"/>
      <c r="AA47" s="66"/>
      <c r="AB47" s="66" t="str">
        <f>IF('HM01-FormSource'!H29&gt;0,CONCATENATE(Tabla2[[#Headers],[e)]],"  ",'HM01-FormSource'!H29),"")</f>
        <v/>
      </c>
      <c r="AC47" s="66"/>
      <c r="AD47" s="66"/>
    </row>
    <row r="48" spans="2:30" ht="13.5" customHeight="1" x14ac:dyDescent="0.2">
      <c r="B48" s="65" t="str">
        <f>IF('HM01-FormSource'!B30&gt;0,CONCATENATE("       ",'HM01-FormSource'!B30),CONCATENATE('HM01-FormSource'!A30,".- ",'HM01-FormSource'!C30))</f>
        <v xml:space="preserve">26.- </v>
      </c>
      <c r="C48" s="65"/>
      <c r="D48" s="65"/>
      <c r="E48" s="65"/>
      <c r="F48" s="65"/>
      <c r="G48" s="65"/>
      <c r="H48" s="65"/>
      <c r="I48" s="65"/>
      <c r="J48" s="65"/>
      <c r="K48" s="65"/>
      <c r="L48" s="65"/>
      <c r="M48" s="65"/>
      <c r="N48" s="65"/>
      <c r="O48" s="65"/>
      <c r="P48" s="66" t="str">
        <f>IF('HM01-FormSource'!D30&gt;0,CONCATENATE(Tabla2[[#Headers],[a)]],"  ",'HM01-FormSource'!D30),"")</f>
        <v/>
      </c>
      <c r="Q48" s="66"/>
      <c r="R48" s="66"/>
      <c r="S48" s="66" t="str">
        <f>IF('HM01-FormSource'!E30&gt;0,CONCATENATE(Tabla2[[#Headers],[b)]],"  ",'HM01-FormSource'!E30),"")</f>
        <v/>
      </c>
      <c r="T48" s="66"/>
      <c r="U48" s="66"/>
      <c r="V48" s="66" t="str">
        <f>IF('HM01-FormSource'!F30&gt;0,CONCATENATE(Tabla2[[#Headers],[c)]],"  ",'HM01-FormSource'!F30),"")</f>
        <v/>
      </c>
      <c r="W48" s="66"/>
      <c r="X48" s="66"/>
      <c r="Y48" s="66" t="str">
        <f>IF('HM01-FormSource'!G30&gt;0,CONCATENATE(Tabla2[[#Headers],[d)]],"  ",'HM01-FormSource'!G30),"")</f>
        <v/>
      </c>
      <c r="Z48" s="66"/>
      <c r="AA48" s="66"/>
      <c r="AB48" s="66" t="str">
        <f>IF('HM01-FormSource'!H30&gt;0,CONCATENATE(Tabla2[[#Headers],[e)]],"  ",'HM01-FormSource'!H30),"")</f>
        <v/>
      </c>
      <c r="AC48" s="66"/>
      <c r="AD48" s="66"/>
    </row>
    <row r="49" spans="2:30" ht="13.5" customHeight="1" x14ac:dyDescent="0.2">
      <c r="B49" s="65" t="str">
        <f>IF('HM01-FormSource'!B31&gt;0,CONCATENATE("       ",'HM01-FormSource'!B31),CONCATENATE('HM01-FormSource'!A31,".- ",'HM01-FormSource'!C31))</f>
        <v xml:space="preserve">27.- </v>
      </c>
      <c r="C49" s="65"/>
      <c r="D49" s="65"/>
      <c r="E49" s="65"/>
      <c r="F49" s="65"/>
      <c r="G49" s="65"/>
      <c r="H49" s="65"/>
      <c r="I49" s="65"/>
      <c r="J49" s="65"/>
      <c r="K49" s="65"/>
      <c r="L49" s="65"/>
      <c r="M49" s="65"/>
      <c r="N49" s="65"/>
      <c r="O49" s="65"/>
      <c r="P49" s="66" t="str">
        <f>IF('HM01-FormSource'!D31&gt;0,CONCATENATE(Tabla2[[#Headers],[a)]],"  ",'HM01-FormSource'!D31),"")</f>
        <v/>
      </c>
      <c r="Q49" s="66"/>
      <c r="R49" s="66"/>
      <c r="S49" s="66" t="str">
        <f>IF('HM01-FormSource'!E31&gt;0,CONCATENATE(Tabla2[[#Headers],[b)]],"  ",'HM01-FormSource'!E31),"")</f>
        <v/>
      </c>
      <c r="T49" s="66"/>
      <c r="U49" s="66"/>
      <c r="V49" s="66" t="str">
        <f>IF('HM01-FormSource'!F31&gt;0,CONCATENATE(Tabla2[[#Headers],[c)]],"  ",'HM01-FormSource'!F31),"")</f>
        <v/>
      </c>
      <c r="W49" s="66"/>
      <c r="X49" s="66"/>
      <c r="Y49" s="66" t="str">
        <f>IF('HM01-FormSource'!G31&gt;0,CONCATENATE(Tabla2[[#Headers],[d)]],"  ",'HM01-FormSource'!G31),"")</f>
        <v/>
      </c>
      <c r="Z49" s="66"/>
      <c r="AA49" s="66"/>
      <c r="AB49" s="66" t="str">
        <f>IF('HM01-FormSource'!H31&gt;0,CONCATENATE(Tabla2[[#Headers],[e)]],"  ",'HM01-FormSource'!H31),"")</f>
        <v/>
      </c>
      <c r="AC49" s="66"/>
      <c r="AD49" s="66"/>
    </row>
    <row r="50" spans="2:30" ht="13.5" customHeight="1" x14ac:dyDescent="0.2">
      <c r="B50" s="67" t="str">
        <f>IF('HM01-FormSource'!B32&gt;0,CONCATENATE("       ",'HM01-FormSource'!B32),CONCATENATE('HM01-FormSource'!A32,".- ",'HM01-FormSource'!C32))</f>
        <v xml:space="preserve">28.- </v>
      </c>
      <c r="C50" s="67"/>
      <c r="D50" s="67"/>
      <c r="E50" s="67"/>
      <c r="F50" s="67"/>
      <c r="G50" s="67"/>
      <c r="H50" s="67"/>
      <c r="I50" s="67"/>
      <c r="J50" s="67"/>
      <c r="K50" s="67"/>
      <c r="L50" s="67"/>
      <c r="M50" s="67"/>
      <c r="N50" s="67"/>
      <c r="O50" s="67"/>
      <c r="P50" s="68" t="str">
        <f>IF('HM01-FormSource'!D32&gt;0,CONCATENATE(Tabla2[[#Headers],[a)]],"  ",'HM01-FormSource'!D32),"")</f>
        <v/>
      </c>
      <c r="Q50" s="68"/>
      <c r="R50" s="68"/>
      <c r="S50" s="68" t="str">
        <f>IF('HM01-FormSource'!E32&gt;0,CONCATENATE(Tabla2[[#Headers],[b)]],"  ",'HM01-FormSource'!E32),"")</f>
        <v/>
      </c>
      <c r="T50" s="68"/>
      <c r="U50" s="68"/>
      <c r="V50" s="68" t="str">
        <f>IF('HM01-FormSource'!F32&gt;0,CONCATENATE(Tabla2[[#Headers],[c)]],"  ",'HM01-FormSource'!F32),"")</f>
        <v/>
      </c>
      <c r="W50" s="68"/>
      <c r="X50" s="68"/>
      <c r="Y50" s="68" t="str">
        <f>IF('HM01-FormSource'!G32&gt;0,CONCATENATE(Tabla2[[#Headers],[d)]],"  ",'HM01-FormSource'!G32),"")</f>
        <v/>
      </c>
      <c r="Z50" s="68"/>
      <c r="AA50" s="68"/>
      <c r="AB50" s="68" t="str">
        <f>IF('HM01-FormSource'!H32&gt;0,CONCATENATE(Tabla2[[#Headers],[e)]],"  ",'HM01-FormSource'!H32),"")</f>
        <v/>
      </c>
      <c r="AC50" s="68"/>
      <c r="AD50" s="68"/>
    </row>
    <row r="51" spans="2:30" ht="13.5" customHeight="1" x14ac:dyDescent="0.2">
      <c r="B51" s="67" t="str">
        <f>IF('HM01-FormSource'!B33&gt;0,CONCATENATE("       ",'HM01-FormSource'!B33),CONCATENATE('HM01-FormSource'!A33,".- ",'HM01-FormSource'!C33))</f>
        <v xml:space="preserve">29.- </v>
      </c>
      <c r="C51" s="67"/>
      <c r="D51" s="67"/>
      <c r="E51" s="67"/>
      <c r="F51" s="67"/>
      <c r="G51" s="67"/>
      <c r="H51" s="67"/>
      <c r="I51" s="67"/>
      <c r="J51" s="67"/>
      <c r="K51" s="67"/>
      <c r="L51" s="67"/>
      <c r="M51" s="67"/>
      <c r="N51" s="67"/>
      <c r="O51" s="67"/>
      <c r="P51" s="68" t="str">
        <f>IF('HM01-FormSource'!D33&gt;0,CONCATENATE(Tabla2[[#Headers],[a)]],"  ",'HM01-FormSource'!D33),"")</f>
        <v/>
      </c>
      <c r="Q51" s="68"/>
      <c r="R51" s="68"/>
      <c r="S51" s="68" t="str">
        <f>IF('HM01-FormSource'!E33&gt;0,CONCATENATE(Tabla2[[#Headers],[b)]],"  ",'HM01-FormSource'!E33),"")</f>
        <v/>
      </c>
      <c r="T51" s="68"/>
      <c r="U51" s="68"/>
      <c r="V51" s="68" t="str">
        <f>IF('HM01-FormSource'!F33&gt;0,CONCATENATE(Tabla2[[#Headers],[c)]],"  ",'HM01-FormSource'!F33),"")</f>
        <v/>
      </c>
      <c r="W51" s="68"/>
      <c r="X51" s="68"/>
      <c r="Y51" s="68" t="str">
        <f>IF('HM01-FormSource'!G33&gt;0,CONCATENATE(Tabla2[[#Headers],[d)]],"  ",'HM01-FormSource'!G33),"")</f>
        <v/>
      </c>
      <c r="Z51" s="68"/>
      <c r="AA51" s="68"/>
      <c r="AB51" s="68" t="str">
        <f>IF('HM01-FormSource'!H33&gt;0,CONCATENATE(Tabla2[[#Headers],[e)]],"  ",'HM01-FormSource'!H33),"")</f>
        <v/>
      </c>
      <c r="AC51" s="68"/>
      <c r="AD51" s="68"/>
    </row>
    <row r="52" spans="2:30" ht="13.5" customHeight="1" x14ac:dyDescent="0.2">
      <c r="B52" s="39" t="str">
        <f>IF('HM01-FormSource'!B34&gt;0,CONCATENATE("           ",'HM01-FormSource'!B34),CONCATENATE('HM01-FormSource'!A34,".- ",'HM01-FormSource'!C34))</f>
        <v xml:space="preserve">           G3</v>
      </c>
      <c r="C52" s="39"/>
      <c r="D52" s="39"/>
      <c r="E52" s="39"/>
      <c r="F52" s="39"/>
      <c r="G52" s="39"/>
      <c r="H52" s="39"/>
      <c r="I52" s="39"/>
      <c r="J52" s="39"/>
      <c r="K52" s="39"/>
      <c r="L52" s="39"/>
      <c r="M52" s="39"/>
      <c r="N52" s="39"/>
      <c r="O52" s="39"/>
      <c r="P52" s="32" t="str">
        <f>IF('HM01-FormSource'!D34&gt;0,CONCATENATE(Tabla2[[#Headers],[a)]],"  ",'HM01-FormSource'!D34),"")</f>
        <v/>
      </c>
      <c r="Q52" s="32"/>
      <c r="R52" s="32"/>
      <c r="S52" s="32" t="str">
        <f>IF('HM01-FormSource'!E34&gt;0,CONCATENATE(Tabla2[[#Headers],[b)]],"  ",'HM01-FormSource'!E34),"")</f>
        <v/>
      </c>
      <c r="T52" s="32"/>
      <c r="U52" s="32"/>
      <c r="V52" s="32" t="str">
        <f>IF('HM01-FormSource'!F34&gt;0,CONCATENATE(Tabla2[[#Headers],[c)]],"  ",'HM01-FormSource'!F34),"")</f>
        <v/>
      </c>
      <c r="W52" s="32"/>
      <c r="X52" s="32"/>
      <c r="Y52" s="32" t="str">
        <f>IF('HM01-FormSource'!G34&gt;0,CONCATENATE(Tabla2[[#Headers],[d)]],"  ",'HM01-FormSource'!G34),"")</f>
        <v/>
      </c>
      <c r="Z52" s="32"/>
      <c r="AA52" s="32"/>
      <c r="AB52" s="32" t="str">
        <f>IF('HM01-FormSource'!H34&gt;0,CONCATENATE(Tabla2[[#Headers],[e)]],"  ",'HM01-FormSource'!H34),"")</f>
        <v/>
      </c>
      <c r="AC52" s="32"/>
      <c r="AD52" s="32"/>
    </row>
    <row r="53" spans="2:30" ht="13.5" customHeight="1" x14ac:dyDescent="0.2">
      <c r="B53" s="65" t="str">
        <f>IF('HM01-FormSource'!B35&gt;0,CONCATENATE("       ",'HM01-FormSource'!B35),CONCATENATE('HM01-FormSource'!A35,".- ",'HM01-FormSource'!C35))</f>
        <v xml:space="preserve">30.- </v>
      </c>
      <c r="C53" s="65"/>
      <c r="D53" s="65"/>
      <c r="E53" s="65"/>
      <c r="F53" s="65"/>
      <c r="G53" s="65"/>
      <c r="H53" s="65"/>
      <c r="I53" s="65"/>
      <c r="J53" s="65"/>
      <c r="K53" s="65"/>
      <c r="L53" s="65"/>
      <c r="M53" s="65"/>
      <c r="N53" s="65"/>
      <c r="O53" s="65"/>
      <c r="P53" s="66" t="str">
        <f>IF('HM01-FormSource'!D35&gt;0,CONCATENATE(Tabla2[[#Headers],[a)]],"  ",'HM01-FormSource'!D35),"")</f>
        <v/>
      </c>
      <c r="Q53" s="66"/>
      <c r="R53" s="66"/>
      <c r="S53" s="66" t="str">
        <f>IF('HM01-FormSource'!E35&gt;0,CONCATENATE(Tabla2[[#Headers],[b)]],"  ",'HM01-FormSource'!E35),"")</f>
        <v/>
      </c>
      <c r="T53" s="66"/>
      <c r="U53" s="66"/>
      <c r="V53" s="66" t="str">
        <f>IF('HM01-FormSource'!F35&gt;0,CONCATENATE(Tabla2[[#Headers],[c)]],"  ",'HM01-FormSource'!F35),"")</f>
        <v/>
      </c>
      <c r="W53" s="66"/>
      <c r="X53" s="66"/>
      <c r="Y53" s="66" t="str">
        <f>IF('HM01-FormSource'!G35&gt;0,CONCATENATE(Tabla2[[#Headers],[d)]],"  ",'HM01-FormSource'!G35),"")</f>
        <v/>
      </c>
      <c r="Z53" s="66"/>
      <c r="AA53" s="66"/>
      <c r="AB53" s="66" t="str">
        <f>IF('HM01-FormSource'!H35&gt;0,CONCATENATE(Tabla2[[#Headers],[e)]],"  ",'HM01-FormSource'!H35),"")</f>
        <v/>
      </c>
      <c r="AC53" s="66"/>
      <c r="AD53" s="66"/>
    </row>
    <row r="54" spans="2:30" ht="13.5" customHeight="1" x14ac:dyDescent="0.2">
      <c r="B54" s="65" t="str">
        <f>IF('HM01-FormSource'!B36&gt;0,CONCATENATE("       ",'HM01-FormSource'!B36),CONCATENATE('HM01-FormSource'!A36,".- ",'HM01-FormSource'!C36))</f>
        <v xml:space="preserve">31.- </v>
      </c>
      <c r="C54" s="65"/>
      <c r="D54" s="65"/>
      <c r="E54" s="65"/>
      <c r="F54" s="65"/>
      <c r="G54" s="65"/>
      <c r="H54" s="65"/>
      <c r="I54" s="65"/>
      <c r="J54" s="65"/>
      <c r="K54" s="65"/>
      <c r="L54" s="65"/>
      <c r="M54" s="65"/>
      <c r="N54" s="65"/>
      <c r="O54" s="65"/>
      <c r="P54" s="66" t="str">
        <f>IF('HM01-FormSource'!D36&gt;0,CONCATENATE(Tabla2[[#Headers],[a)]],"  ",'HM01-FormSource'!D36),"")</f>
        <v/>
      </c>
      <c r="Q54" s="66"/>
      <c r="R54" s="66"/>
      <c r="S54" s="66" t="str">
        <f>IF('HM01-FormSource'!E36&gt;0,CONCATENATE(Tabla2[[#Headers],[b)]],"  ",'HM01-FormSource'!E36),"")</f>
        <v/>
      </c>
      <c r="T54" s="66"/>
      <c r="U54" s="66"/>
      <c r="V54" s="66" t="str">
        <f>IF('HM01-FormSource'!F36&gt;0,CONCATENATE(Tabla2[[#Headers],[c)]],"  ",'HM01-FormSource'!F36),"")</f>
        <v/>
      </c>
      <c r="W54" s="66"/>
      <c r="X54" s="66"/>
      <c r="Y54" s="66" t="str">
        <f>IF('HM01-FormSource'!G36&gt;0,CONCATENATE(Tabla2[[#Headers],[d)]],"  ",'HM01-FormSource'!G36),"")</f>
        <v/>
      </c>
      <c r="Z54" s="66"/>
      <c r="AA54" s="66"/>
      <c r="AB54" s="66" t="str">
        <f>IF('HM01-FormSource'!H36&gt;0,CONCATENATE(Tabla2[[#Headers],[e)]],"  ",'HM01-FormSource'!H36),"")</f>
        <v/>
      </c>
      <c r="AC54" s="66"/>
      <c r="AD54" s="66"/>
    </row>
    <row r="55" spans="2:30" ht="13.5" customHeight="1" x14ac:dyDescent="0.2">
      <c r="B55" s="65" t="str">
        <f>IF('HM01-FormSource'!B37&gt;0,CONCATENATE("       ",'HM01-FormSource'!B37),CONCATENATE('HM01-FormSource'!A37,".- ",'HM01-FormSource'!C37))</f>
        <v xml:space="preserve">32.- </v>
      </c>
      <c r="C55" s="65"/>
      <c r="D55" s="65"/>
      <c r="E55" s="65"/>
      <c r="F55" s="65"/>
      <c r="G55" s="65"/>
      <c r="H55" s="65"/>
      <c r="I55" s="65"/>
      <c r="J55" s="65"/>
      <c r="K55" s="65"/>
      <c r="L55" s="65"/>
      <c r="M55" s="65"/>
      <c r="N55" s="65"/>
      <c r="O55" s="65"/>
      <c r="P55" s="66" t="str">
        <f>IF('HM01-FormSource'!D37&gt;0,CONCATENATE(Tabla2[[#Headers],[a)]],"  ",'HM01-FormSource'!D37),"")</f>
        <v/>
      </c>
      <c r="Q55" s="66"/>
      <c r="R55" s="66"/>
      <c r="S55" s="66" t="str">
        <f>IF('HM01-FormSource'!E37&gt;0,CONCATENATE(Tabla2[[#Headers],[b)]],"  ",'HM01-FormSource'!E37),"")</f>
        <v/>
      </c>
      <c r="T55" s="66"/>
      <c r="U55" s="66"/>
      <c r="V55" s="66" t="str">
        <f>IF('HM01-FormSource'!F37&gt;0,CONCATENATE(Tabla2[[#Headers],[c)]],"  ",'HM01-FormSource'!F37),"")</f>
        <v/>
      </c>
      <c r="W55" s="66"/>
      <c r="X55" s="66"/>
      <c r="Y55" s="66" t="str">
        <f>IF('HM01-FormSource'!G37&gt;0,CONCATENATE(Tabla2[[#Headers],[d)]],"  ",'HM01-FormSource'!G37),"")</f>
        <v/>
      </c>
      <c r="Z55" s="66"/>
      <c r="AA55" s="66"/>
      <c r="AB55" s="66" t="str">
        <f>IF('HM01-FormSource'!H37&gt;0,CONCATENATE(Tabla2[[#Headers],[e)]],"  ",'HM01-FormSource'!H37),"")</f>
        <v/>
      </c>
      <c r="AC55" s="66"/>
      <c r="AD55" s="66"/>
    </row>
    <row r="56" spans="2:30" ht="13.5" customHeight="1" x14ac:dyDescent="0.2">
      <c r="B56" s="65" t="str">
        <f>IF('HM01-FormSource'!B38&gt;0,CONCATENATE("       ",'HM01-FormSource'!B38),CONCATENATE('HM01-FormSource'!A38,".- ",'HM01-FormSource'!C38))</f>
        <v xml:space="preserve">33.- </v>
      </c>
      <c r="C56" s="65"/>
      <c r="D56" s="65"/>
      <c r="E56" s="65"/>
      <c r="F56" s="65"/>
      <c r="G56" s="65"/>
      <c r="H56" s="65"/>
      <c r="I56" s="65"/>
      <c r="J56" s="65"/>
      <c r="K56" s="65"/>
      <c r="L56" s="65"/>
      <c r="M56" s="65"/>
      <c r="N56" s="65"/>
      <c r="O56" s="65"/>
      <c r="P56" s="66" t="str">
        <f>IF('HM01-FormSource'!D38&gt;0,CONCATENATE(Tabla2[[#Headers],[a)]],"  ",'HM01-FormSource'!D38),"")</f>
        <v/>
      </c>
      <c r="Q56" s="66"/>
      <c r="R56" s="66"/>
      <c r="S56" s="66" t="str">
        <f>IF('HM01-FormSource'!E38&gt;0,CONCATENATE(Tabla2[[#Headers],[b)]],"  ",'HM01-FormSource'!E38),"")</f>
        <v/>
      </c>
      <c r="T56" s="66"/>
      <c r="U56" s="66"/>
      <c r="V56" s="66" t="str">
        <f>IF('HM01-FormSource'!F38&gt;0,CONCATENATE(Tabla2[[#Headers],[c)]],"  ",'HM01-FormSource'!F38),"")</f>
        <v/>
      </c>
      <c r="W56" s="66"/>
      <c r="X56" s="66"/>
      <c r="Y56" s="66" t="str">
        <f>IF('HM01-FormSource'!G38&gt;0,CONCATENATE(Tabla2[[#Headers],[d)]],"  ",'HM01-FormSource'!G38),"")</f>
        <v/>
      </c>
      <c r="Z56" s="66"/>
      <c r="AA56" s="66"/>
      <c r="AB56" s="66" t="str">
        <f>IF('HM01-FormSource'!H38&gt;0,CONCATENATE(Tabla2[[#Headers],[e)]],"  ",'HM01-FormSource'!H38),"")</f>
        <v/>
      </c>
      <c r="AC56" s="66"/>
      <c r="AD56" s="66"/>
    </row>
    <row r="57" spans="2:30" ht="13.5" customHeight="1" x14ac:dyDescent="0.2">
      <c r="B57" s="65" t="str">
        <f>IF('HM01-FormSource'!B39&gt;0,CONCATENATE("       ",'HM01-FormSource'!B39),CONCATENATE('HM01-FormSource'!A39,".- ",'HM01-FormSource'!C39))</f>
        <v xml:space="preserve">34.- </v>
      </c>
      <c r="C57" s="65"/>
      <c r="D57" s="65"/>
      <c r="E57" s="65"/>
      <c r="F57" s="65"/>
      <c r="G57" s="65"/>
      <c r="H57" s="65"/>
      <c r="I57" s="65"/>
      <c r="J57" s="65"/>
      <c r="K57" s="65"/>
      <c r="L57" s="65"/>
      <c r="M57" s="65"/>
      <c r="N57" s="65"/>
      <c r="O57" s="65"/>
      <c r="P57" s="66" t="str">
        <f>IF('HM01-FormSource'!D39&gt;0,CONCATENATE(Tabla2[[#Headers],[a)]],"  ",'HM01-FormSource'!D39),"")</f>
        <v/>
      </c>
      <c r="Q57" s="66"/>
      <c r="R57" s="66"/>
      <c r="S57" s="66" t="str">
        <f>IF('HM01-FormSource'!E39&gt;0,CONCATENATE(Tabla2[[#Headers],[b)]],"  ",'HM01-FormSource'!E39),"")</f>
        <v/>
      </c>
      <c r="T57" s="66"/>
      <c r="U57" s="66"/>
      <c r="V57" s="66" t="str">
        <f>IF('HM01-FormSource'!F39&gt;0,CONCATENATE(Tabla2[[#Headers],[c)]],"  ",'HM01-FormSource'!F39),"")</f>
        <v/>
      </c>
      <c r="W57" s="66"/>
      <c r="X57" s="66"/>
      <c r="Y57" s="66" t="str">
        <f>IF('HM01-FormSource'!G39&gt;0,CONCATENATE(Tabla2[[#Headers],[d)]],"  ",'HM01-FormSource'!G39),"")</f>
        <v/>
      </c>
      <c r="Z57" s="66"/>
      <c r="AA57" s="66"/>
      <c r="AB57" s="66" t="str">
        <f>IF('HM01-FormSource'!H39&gt;0,CONCATENATE(Tabla2[[#Headers],[e)]],"  ",'HM01-FormSource'!H39),"")</f>
        <v/>
      </c>
      <c r="AC57" s="66"/>
      <c r="AD57" s="66"/>
    </row>
    <row r="58" spans="2:30" ht="13.5" customHeight="1" x14ac:dyDescent="0.2">
      <c r="B58" s="65" t="str">
        <f>IF('HM01-FormSource'!B40&gt;0,CONCATENATE("       ",'HM01-FormSource'!B40),CONCATENATE('HM01-FormSource'!A40,".- ",'HM01-FormSource'!C40))</f>
        <v xml:space="preserve">35.- </v>
      </c>
      <c r="C58" s="65"/>
      <c r="D58" s="65"/>
      <c r="E58" s="65"/>
      <c r="F58" s="65"/>
      <c r="G58" s="65"/>
      <c r="H58" s="65"/>
      <c r="I58" s="65"/>
      <c r="J58" s="65"/>
      <c r="K58" s="65"/>
      <c r="L58" s="65"/>
      <c r="M58" s="65"/>
      <c r="N58" s="65"/>
      <c r="O58" s="65"/>
      <c r="P58" s="66" t="str">
        <f>IF('HM01-FormSource'!D40&gt;0,CONCATENATE(Tabla2[[#Headers],[a)]],"  ",'HM01-FormSource'!D40),"")</f>
        <v/>
      </c>
      <c r="Q58" s="66"/>
      <c r="R58" s="66"/>
      <c r="S58" s="66" t="str">
        <f>IF('HM01-FormSource'!E40&gt;0,CONCATENATE(Tabla2[[#Headers],[b)]],"  ",'HM01-FormSource'!E40),"")</f>
        <v/>
      </c>
      <c r="T58" s="66"/>
      <c r="U58" s="66"/>
      <c r="V58" s="66" t="str">
        <f>IF('HM01-FormSource'!F40&gt;0,CONCATENATE(Tabla2[[#Headers],[c)]],"  ",'HM01-FormSource'!F40),"")</f>
        <v/>
      </c>
      <c r="W58" s="66"/>
      <c r="X58" s="66"/>
      <c r="Y58" s="66" t="str">
        <f>IF('HM01-FormSource'!G40&gt;0,CONCATENATE(Tabla2[[#Headers],[d)]],"  ",'HM01-FormSource'!G40),"")</f>
        <v/>
      </c>
      <c r="Z58" s="66"/>
      <c r="AA58" s="66"/>
      <c r="AB58" s="66" t="str">
        <f>IF('HM01-FormSource'!H40&gt;0,CONCATENATE(Tabla2[[#Headers],[e)]],"  ",'HM01-FormSource'!H40),"")</f>
        <v/>
      </c>
      <c r="AC58" s="66"/>
      <c r="AD58" s="66"/>
    </row>
    <row r="59" spans="2:30" ht="13.5" customHeight="1" x14ac:dyDescent="0.2">
      <c r="B59" s="65" t="str">
        <f>IF('HM01-FormSource'!B41&gt;0,CONCATENATE("       ",'HM01-FormSource'!B41),CONCATENATE('HM01-FormSource'!A41,".- ",'HM01-FormSource'!C41))</f>
        <v xml:space="preserve">36.- </v>
      </c>
      <c r="C59" s="65"/>
      <c r="D59" s="65"/>
      <c r="E59" s="65"/>
      <c r="F59" s="65"/>
      <c r="G59" s="65"/>
      <c r="H59" s="65"/>
      <c r="I59" s="65"/>
      <c r="J59" s="65"/>
      <c r="K59" s="65"/>
      <c r="L59" s="65"/>
      <c r="M59" s="65"/>
      <c r="N59" s="65"/>
      <c r="O59" s="65"/>
      <c r="P59" s="66" t="str">
        <f>IF('HM01-FormSource'!D41&gt;0,CONCATENATE(Tabla2[[#Headers],[a)]],"  ",'HM01-FormSource'!D41),"")</f>
        <v/>
      </c>
      <c r="Q59" s="66"/>
      <c r="R59" s="66"/>
      <c r="S59" s="66" t="str">
        <f>IF('HM01-FormSource'!E41&gt;0,CONCATENATE(Tabla2[[#Headers],[b)]],"  ",'HM01-FormSource'!E41),"")</f>
        <v/>
      </c>
      <c r="T59" s="66"/>
      <c r="U59" s="66"/>
      <c r="V59" s="66" t="str">
        <f>IF('HM01-FormSource'!F41&gt;0,CONCATENATE(Tabla2[[#Headers],[c)]],"  ",'HM01-FormSource'!F41),"")</f>
        <v/>
      </c>
      <c r="W59" s="66"/>
      <c r="X59" s="66"/>
      <c r="Y59" s="66" t="str">
        <f>IF('HM01-FormSource'!G41&gt;0,CONCATENATE(Tabla2[[#Headers],[d)]],"  ",'HM01-FormSource'!G41),"")</f>
        <v/>
      </c>
      <c r="Z59" s="66"/>
      <c r="AA59" s="66"/>
      <c r="AB59" s="66" t="str">
        <f>IF('HM01-FormSource'!H41&gt;0,CONCATENATE(Tabla2[[#Headers],[e)]],"  ",'HM01-FormSource'!H41),"")</f>
        <v/>
      </c>
      <c r="AC59" s="66"/>
      <c r="AD59" s="66"/>
    </row>
    <row r="60" spans="2:30" ht="13.5" customHeight="1" x14ac:dyDescent="0.2">
      <c r="B60" s="65" t="str">
        <f>IF('HM01-FormSource'!B42&gt;0,CONCATENATE("       ",'HM01-FormSource'!B42),CONCATENATE('HM01-FormSource'!A42,".- ",'HM01-FormSource'!C42))</f>
        <v xml:space="preserve">37.- </v>
      </c>
      <c r="C60" s="65"/>
      <c r="D60" s="65"/>
      <c r="E60" s="65"/>
      <c r="F60" s="65"/>
      <c r="G60" s="65"/>
      <c r="H60" s="65"/>
      <c r="I60" s="65"/>
      <c r="J60" s="65"/>
      <c r="K60" s="65"/>
      <c r="L60" s="65"/>
      <c r="M60" s="65"/>
      <c r="N60" s="65"/>
      <c r="O60" s="65"/>
      <c r="P60" s="66" t="str">
        <f>IF('HM01-FormSource'!D42&gt;0,CONCATENATE(Tabla2[[#Headers],[a)]],"  ",'HM01-FormSource'!D42),"")</f>
        <v/>
      </c>
      <c r="Q60" s="66"/>
      <c r="R60" s="66"/>
      <c r="S60" s="66" t="str">
        <f>IF('HM01-FormSource'!E42&gt;0,CONCATENATE(Tabla2[[#Headers],[b)]],"  ",'HM01-FormSource'!E42),"")</f>
        <v/>
      </c>
      <c r="T60" s="66"/>
      <c r="U60" s="66"/>
      <c r="V60" s="66" t="str">
        <f>IF('HM01-FormSource'!F42&gt;0,CONCATENATE(Tabla2[[#Headers],[c)]],"  ",'HM01-FormSource'!F42),"")</f>
        <v/>
      </c>
      <c r="W60" s="66"/>
      <c r="X60" s="66"/>
      <c r="Y60" s="66" t="str">
        <f>IF('HM01-FormSource'!G42&gt;0,CONCATENATE(Tabla2[[#Headers],[d)]],"  ",'HM01-FormSource'!G42),"")</f>
        <v/>
      </c>
      <c r="Z60" s="66"/>
      <c r="AA60" s="66"/>
      <c r="AB60" s="66" t="str">
        <f>IF('HM01-FormSource'!H42&gt;0,CONCATENATE(Tabla2[[#Headers],[e)]],"  ",'HM01-FormSource'!H42),"")</f>
        <v/>
      </c>
      <c r="AC60" s="66"/>
      <c r="AD60" s="66"/>
    </row>
    <row r="61" spans="2:30" ht="13.5" customHeight="1" x14ac:dyDescent="0.2">
      <c r="B61" s="67" t="str">
        <f>IF('HM01-FormSource'!B43&gt;0,CONCATENATE("       ",'HM01-FormSource'!B43),CONCATENATE('HM01-FormSource'!A43,".- ",'HM01-FormSource'!C43))</f>
        <v xml:space="preserve">38.- </v>
      </c>
      <c r="C61" s="67"/>
      <c r="D61" s="67"/>
      <c r="E61" s="67"/>
      <c r="F61" s="67"/>
      <c r="G61" s="67"/>
      <c r="H61" s="67"/>
      <c r="I61" s="67"/>
      <c r="J61" s="67"/>
      <c r="K61" s="67"/>
      <c r="L61" s="67"/>
      <c r="M61" s="67"/>
      <c r="N61" s="67"/>
      <c r="O61" s="67"/>
      <c r="P61" s="68" t="str">
        <f>IF('HM01-FormSource'!D43&gt;0,CONCATENATE(Tabla2[[#Headers],[a)]],"  ",'HM01-FormSource'!D43),"")</f>
        <v/>
      </c>
      <c r="Q61" s="68"/>
      <c r="R61" s="68"/>
      <c r="S61" s="68" t="str">
        <f>IF('HM01-FormSource'!E43&gt;0,CONCATENATE(Tabla2[[#Headers],[b)]],"  ",'HM01-FormSource'!E43),"")</f>
        <v/>
      </c>
      <c r="T61" s="68"/>
      <c r="U61" s="68"/>
      <c r="V61" s="68" t="str">
        <f>IF('HM01-FormSource'!F43&gt;0,CONCATENATE(Tabla2[[#Headers],[c)]],"  ",'HM01-FormSource'!F43),"")</f>
        <v/>
      </c>
      <c r="W61" s="68"/>
      <c r="X61" s="68"/>
      <c r="Y61" s="68" t="str">
        <f>IF('HM01-FormSource'!G43&gt;0,CONCATENATE(Tabla2[[#Headers],[d)]],"  ",'HM01-FormSource'!G43),"")</f>
        <v/>
      </c>
      <c r="Z61" s="68"/>
      <c r="AA61" s="68"/>
      <c r="AB61" s="68" t="str">
        <f>IF('HM01-FormSource'!H43&gt;0,CONCATENATE(Tabla2[[#Headers],[e)]],"  ",'HM01-FormSource'!H43),"")</f>
        <v/>
      </c>
      <c r="AC61" s="68"/>
      <c r="AD61" s="68"/>
    </row>
    <row r="62" spans="2:30" ht="13.5" customHeight="1" x14ac:dyDescent="0.2">
      <c r="B62" s="67" t="str">
        <f>IF('HM01-FormSource'!B44&gt;0,CONCATENATE("       ",'HM01-FormSource'!B44),CONCATENATE('HM01-FormSource'!A44,".- ",'HM01-FormSource'!C44))</f>
        <v xml:space="preserve">39.- </v>
      </c>
      <c r="C62" s="67"/>
      <c r="D62" s="67"/>
      <c r="E62" s="67"/>
      <c r="F62" s="67"/>
      <c r="G62" s="67"/>
      <c r="H62" s="67"/>
      <c r="I62" s="67"/>
      <c r="J62" s="67"/>
      <c r="K62" s="67"/>
      <c r="L62" s="67"/>
      <c r="M62" s="67"/>
      <c r="N62" s="67"/>
      <c r="O62" s="67"/>
      <c r="P62" s="68" t="str">
        <f>IF('HM01-FormSource'!D44&gt;0,CONCATENATE(Tabla2[[#Headers],[a)]],"  ",'HM01-FormSource'!D44),"")</f>
        <v/>
      </c>
      <c r="Q62" s="68"/>
      <c r="R62" s="68"/>
      <c r="S62" s="68" t="str">
        <f>IF('HM01-FormSource'!E44&gt;0,CONCATENATE(Tabla2[[#Headers],[b)]],"  ",'HM01-FormSource'!E44),"")</f>
        <v/>
      </c>
      <c r="T62" s="68"/>
      <c r="U62" s="68"/>
      <c r="V62" s="68" t="str">
        <f>IF('HM01-FormSource'!F44&gt;0,CONCATENATE(Tabla2[[#Headers],[c)]],"  ",'HM01-FormSource'!F44),"")</f>
        <v/>
      </c>
      <c r="W62" s="68"/>
      <c r="X62" s="68"/>
      <c r="Y62" s="68" t="str">
        <f>IF('HM01-FormSource'!G44&gt;0,CONCATENATE(Tabla2[[#Headers],[d)]],"  ",'HM01-FormSource'!G44),"")</f>
        <v/>
      </c>
      <c r="Z62" s="68"/>
      <c r="AA62" s="68"/>
      <c r="AB62" s="68" t="str">
        <f>IF('HM01-FormSource'!H44&gt;0,CONCATENATE(Tabla2[[#Headers],[e)]],"  ",'HM01-FormSource'!H44),"")</f>
        <v/>
      </c>
      <c r="AC62" s="68"/>
      <c r="AD62" s="68"/>
    </row>
  </sheetData>
  <mergeCells count="311">
    <mergeCell ref="Q13:V13"/>
    <mergeCell ref="AC13:AD13"/>
    <mergeCell ref="W13:AB13"/>
    <mergeCell ref="B13:G13"/>
    <mergeCell ref="B12:G12"/>
    <mergeCell ref="B11:G11"/>
    <mergeCell ref="H15:N15"/>
    <mergeCell ref="H14:N14"/>
    <mergeCell ref="H13:N13"/>
    <mergeCell ref="H12:N12"/>
    <mergeCell ref="Q5:V5"/>
    <mergeCell ref="W5:AD5"/>
    <mergeCell ref="Q1:AD1"/>
    <mergeCell ref="H17:AD17"/>
    <mergeCell ref="B17:G17"/>
    <mergeCell ref="H11:O11"/>
    <mergeCell ref="Q7:V7"/>
    <mergeCell ref="B15:G15"/>
    <mergeCell ref="B14:G14"/>
    <mergeCell ref="Q9:V9"/>
    <mergeCell ref="W10:Y10"/>
    <mergeCell ref="AA10:AC10"/>
    <mergeCell ref="Q12:V12"/>
    <mergeCell ref="Q11:V11"/>
    <mergeCell ref="Q8:V8"/>
    <mergeCell ref="Q10:V10"/>
    <mergeCell ref="W12:AD12"/>
    <mergeCell ref="W11:AD11"/>
    <mergeCell ref="W8:AD8"/>
    <mergeCell ref="E19:O19"/>
    <mergeCell ref="AB19:AD19"/>
    <mergeCell ref="Y19:AA19"/>
    <mergeCell ref="V19:X19"/>
    <mergeCell ref="S19:U19"/>
    <mergeCell ref="P19:R19"/>
    <mergeCell ref="B52:O52"/>
    <mergeCell ref="P52:R52"/>
    <mergeCell ref="S52:U52"/>
    <mergeCell ref="V52:X52"/>
    <mergeCell ref="Y52:AA52"/>
    <mergeCell ref="AB52:AD52"/>
    <mergeCell ref="B41:O41"/>
    <mergeCell ref="P41:R41"/>
    <mergeCell ref="S41:U41"/>
    <mergeCell ref="V41:X41"/>
    <mergeCell ref="Y41:AA41"/>
    <mergeCell ref="AB41:AD41"/>
    <mergeCell ref="B62:O62"/>
    <mergeCell ref="P62:R62"/>
    <mergeCell ref="S62:U62"/>
    <mergeCell ref="V62:X62"/>
    <mergeCell ref="Y62:AA62"/>
    <mergeCell ref="AB62:AD62"/>
    <mergeCell ref="B61:O61"/>
    <mergeCell ref="P61:R61"/>
    <mergeCell ref="S61:U61"/>
    <mergeCell ref="V61:X61"/>
    <mergeCell ref="Y61:AA61"/>
    <mergeCell ref="AB61:AD61"/>
    <mergeCell ref="B60:O60"/>
    <mergeCell ref="P60:R60"/>
    <mergeCell ref="S60:U60"/>
    <mergeCell ref="V60:X60"/>
    <mergeCell ref="Y60:AA60"/>
    <mergeCell ref="AB60:AD60"/>
    <mergeCell ref="B59:O59"/>
    <mergeCell ref="P59:R59"/>
    <mergeCell ref="S59:U59"/>
    <mergeCell ref="V59:X59"/>
    <mergeCell ref="Y59:AA59"/>
    <mergeCell ref="AB59:AD59"/>
    <mergeCell ref="B58:O58"/>
    <mergeCell ref="P58:R58"/>
    <mergeCell ref="S58:U58"/>
    <mergeCell ref="V58:X58"/>
    <mergeCell ref="Y58:AA58"/>
    <mergeCell ref="AB58:AD58"/>
    <mergeCell ref="B57:O57"/>
    <mergeCell ref="P57:R57"/>
    <mergeCell ref="S57:U57"/>
    <mergeCell ref="V57:X57"/>
    <mergeCell ref="Y57:AA57"/>
    <mergeCell ref="AB57:AD57"/>
    <mergeCell ref="B56:O56"/>
    <mergeCell ref="P56:R56"/>
    <mergeCell ref="S56:U56"/>
    <mergeCell ref="V56:X56"/>
    <mergeCell ref="Y56:AA56"/>
    <mergeCell ref="AB56:AD56"/>
    <mergeCell ref="B55:O55"/>
    <mergeCell ref="P55:R55"/>
    <mergeCell ref="S55:U55"/>
    <mergeCell ref="V55:X55"/>
    <mergeCell ref="Y55:AA55"/>
    <mergeCell ref="AB55:AD55"/>
    <mergeCell ref="B54:O54"/>
    <mergeCell ref="P54:R54"/>
    <mergeCell ref="S54:U54"/>
    <mergeCell ref="V54:X54"/>
    <mergeCell ref="Y54:AA54"/>
    <mergeCell ref="AB54:AD54"/>
    <mergeCell ref="B53:O53"/>
    <mergeCell ref="P53:R53"/>
    <mergeCell ref="S53:U53"/>
    <mergeCell ref="V53:X53"/>
    <mergeCell ref="Y53:AA53"/>
    <mergeCell ref="AB53:AD53"/>
    <mergeCell ref="B51:O51"/>
    <mergeCell ref="P51:R51"/>
    <mergeCell ref="S51:U51"/>
    <mergeCell ref="V51:X51"/>
    <mergeCell ref="Y51:AA51"/>
    <mergeCell ref="AB51:AD51"/>
    <mergeCell ref="B50:O50"/>
    <mergeCell ref="P50:R50"/>
    <mergeCell ref="S50:U50"/>
    <mergeCell ref="V50:X50"/>
    <mergeCell ref="Y50:AA50"/>
    <mergeCell ref="AB50:AD50"/>
    <mergeCell ref="B49:O49"/>
    <mergeCell ref="P49:R49"/>
    <mergeCell ref="S49:U49"/>
    <mergeCell ref="V49:X49"/>
    <mergeCell ref="Y49:AA49"/>
    <mergeCell ref="AB49:AD49"/>
    <mergeCell ref="B48:O48"/>
    <mergeCell ref="P48:R48"/>
    <mergeCell ref="S48:U48"/>
    <mergeCell ref="V48:X48"/>
    <mergeCell ref="Y48:AA48"/>
    <mergeCell ref="AB48:AD48"/>
    <mergeCell ref="B47:O47"/>
    <mergeCell ref="P47:R47"/>
    <mergeCell ref="S47:U47"/>
    <mergeCell ref="V47:X47"/>
    <mergeCell ref="Y47:AA47"/>
    <mergeCell ref="AB47:AD47"/>
    <mergeCell ref="B46:O46"/>
    <mergeCell ref="P46:R46"/>
    <mergeCell ref="S46:U46"/>
    <mergeCell ref="V46:X46"/>
    <mergeCell ref="Y46:AA46"/>
    <mergeCell ref="AB46:AD46"/>
    <mergeCell ref="B45:O45"/>
    <mergeCell ref="P45:R45"/>
    <mergeCell ref="S45:U45"/>
    <mergeCell ref="V45:X45"/>
    <mergeCell ref="Y45:AA45"/>
    <mergeCell ref="AB45:AD45"/>
    <mergeCell ref="B44:O44"/>
    <mergeCell ref="P44:R44"/>
    <mergeCell ref="S44:U44"/>
    <mergeCell ref="V44:X44"/>
    <mergeCell ref="Y44:AA44"/>
    <mergeCell ref="AB44:AD44"/>
    <mergeCell ref="B43:O43"/>
    <mergeCell ref="P43:R43"/>
    <mergeCell ref="S43:U43"/>
    <mergeCell ref="V43:X43"/>
    <mergeCell ref="Y43:AA43"/>
    <mergeCell ref="AB43:AD43"/>
    <mergeCell ref="B42:O42"/>
    <mergeCell ref="P42:R42"/>
    <mergeCell ref="S42:U42"/>
    <mergeCell ref="V42:X42"/>
    <mergeCell ref="Y42:AA42"/>
    <mergeCell ref="AB42:AD42"/>
    <mergeCell ref="B40:O40"/>
    <mergeCell ref="P40:R40"/>
    <mergeCell ref="S40:U40"/>
    <mergeCell ref="V40:X40"/>
    <mergeCell ref="Y40:AA40"/>
    <mergeCell ref="AB40:AD40"/>
    <mergeCell ref="B39:O39"/>
    <mergeCell ref="P39:R39"/>
    <mergeCell ref="S39:U39"/>
    <mergeCell ref="V39:X39"/>
    <mergeCell ref="Y39:AA39"/>
    <mergeCell ref="AB39:AD39"/>
    <mergeCell ref="B38:O38"/>
    <mergeCell ref="P38:R38"/>
    <mergeCell ref="S38:U38"/>
    <mergeCell ref="V38:X38"/>
    <mergeCell ref="Y38:AA38"/>
    <mergeCell ref="AB38:AD38"/>
    <mergeCell ref="B37:O37"/>
    <mergeCell ref="P37:R37"/>
    <mergeCell ref="S37:U37"/>
    <mergeCell ref="V37:X37"/>
    <mergeCell ref="Y37:AA37"/>
    <mergeCell ref="AB37:AD37"/>
    <mergeCell ref="B36:O36"/>
    <mergeCell ref="P36:R36"/>
    <mergeCell ref="S36:U36"/>
    <mergeCell ref="V36:X36"/>
    <mergeCell ref="Y36:AA36"/>
    <mergeCell ref="AB36:AD36"/>
    <mergeCell ref="B35:O35"/>
    <mergeCell ref="P35:R35"/>
    <mergeCell ref="S35:U35"/>
    <mergeCell ref="V35:X35"/>
    <mergeCell ref="Y35:AA35"/>
    <mergeCell ref="AB35:AD35"/>
    <mergeCell ref="B34:O34"/>
    <mergeCell ref="P34:R34"/>
    <mergeCell ref="S34:U34"/>
    <mergeCell ref="V34:X34"/>
    <mergeCell ref="Y34:AA34"/>
    <mergeCell ref="AB34:AD34"/>
    <mergeCell ref="Y20:AA20"/>
    <mergeCell ref="AB20:AD20"/>
    <mergeCell ref="B33:O33"/>
    <mergeCell ref="P33:R33"/>
    <mergeCell ref="S33:U33"/>
    <mergeCell ref="V33:X33"/>
    <mergeCell ref="Y33:AA33"/>
    <mergeCell ref="AB33:AD33"/>
    <mergeCell ref="B30:O30"/>
    <mergeCell ref="B31:O31"/>
    <mergeCell ref="B32:O32"/>
    <mergeCell ref="P20:R20"/>
    <mergeCell ref="S20:U20"/>
    <mergeCell ref="V20:X20"/>
    <mergeCell ref="B22:O22"/>
    <mergeCell ref="B23:O23"/>
    <mergeCell ref="B24:O24"/>
    <mergeCell ref="B25:O25"/>
    <mergeCell ref="B26:O26"/>
    <mergeCell ref="B27:O27"/>
    <mergeCell ref="V32:X32"/>
    <mergeCell ref="Y22:AA22"/>
    <mergeCell ref="Y23:AA23"/>
    <mergeCell ref="Y24:AA24"/>
    <mergeCell ref="Y25:AA25"/>
    <mergeCell ref="Y26:AA26"/>
    <mergeCell ref="Y27:AA27"/>
    <mergeCell ref="Y28:AA28"/>
    <mergeCell ref="Y29:AA29"/>
    <mergeCell ref="Y30:AA30"/>
    <mergeCell ref="P31:R31"/>
    <mergeCell ref="P32:R32"/>
    <mergeCell ref="S22:U22"/>
    <mergeCell ref="S23:U23"/>
    <mergeCell ref="S24:U24"/>
    <mergeCell ref="S25:U25"/>
    <mergeCell ref="S26:U26"/>
    <mergeCell ref="S27:U27"/>
    <mergeCell ref="S28:U28"/>
    <mergeCell ref="S29:U29"/>
    <mergeCell ref="P21:R21"/>
    <mergeCell ref="S21:U21"/>
    <mergeCell ref="V21:X21"/>
    <mergeCell ref="Y21:AA21"/>
    <mergeCell ref="AB21:AD21"/>
    <mergeCell ref="P22:R22"/>
    <mergeCell ref="P23:R23"/>
    <mergeCell ref="P24:R24"/>
    <mergeCell ref="P25:R25"/>
    <mergeCell ref="AB27:AD27"/>
    <mergeCell ref="AB28:AD28"/>
    <mergeCell ref="AB29:AD29"/>
    <mergeCell ref="AB30:AD30"/>
    <mergeCell ref="AB22:AD22"/>
    <mergeCell ref="AB23:AD23"/>
    <mergeCell ref="AB24:AD24"/>
    <mergeCell ref="AB25:AD25"/>
    <mergeCell ref="Y31:AA31"/>
    <mergeCell ref="Y32:AA32"/>
    <mergeCell ref="AB31:AD31"/>
    <mergeCell ref="AB32:AD32"/>
    <mergeCell ref="AB26:AD26"/>
    <mergeCell ref="V27:X27"/>
    <mergeCell ref="V28:X28"/>
    <mergeCell ref="V29:X29"/>
    <mergeCell ref="V30:X30"/>
    <mergeCell ref="V22:X22"/>
    <mergeCell ref="V23:X23"/>
    <mergeCell ref="V24:X24"/>
    <mergeCell ref="V25:X25"/>
    <mergeCell ref="S30:U30"/>
    <mergeCell ref="S31:U31"/>
    <mergeCell ref="S32:U32"/>
    <mergeCell ref="V31:X31"/>
    <mergeCell ref="V26:X26"/>
    <mergeCell ref="P27:R27"/>
    <mergeCell ref="P28:R28"/>
    <mergeCell ref="P29:R29"/>
    <mergeCell ref="P30:R30"/>
    <mergeCell ref="P26:R26"/>
    <mergeCell ref="C19:D19"/>
    <mergeCell ref="B28:O28"/>
    <mergeCell ref="B29:O29"/>
    <mergeCell ref="B1:O1"/>
    <mergeCell ref="H10:O10"/>
    <mergeCell ref="H9:O9"/>
    <mergeCell ref="H8:O8"/>
    <mergeCell ref="B4:G4"/>
    <mergeCell ref="H4:AD4"/>
    <mergeCell ref="H7:O7"/>
    <mergeCell ref="B10:G10"/>
    <mergeCell ref="B9:G9"/>
    <mergeCell ref="B8:G8"/>
    <mergeCell ref="B7:G7"/>
    <mergeCell ref="B5:G5"/>
    <mergeCell ref="H5:O5"/>
    <mergeCell ref="W7:AD7"/>
    <mergeCell ref="W9:AD9"/>
    <mergeCell ref="AA2:AD2"/>
    <mergeCell ref="W2:Z2"/>
    <mergeCell ref="B20:O20"/>
    <mergeCell ref="B21:O21"/>
  </mergeCells>
  <conditionalFormatting sqref="B20:B62">
    <cfRule type="cellIs" dxfId="8" priority="2" operator="equal">
      <formula>0</formula>
    </cfRule>
  </conditionalFormatting>
  <dataValidations count="2">
    <dataValidation type="list" allowBlank="1" showInputMessage="1" showErrorMessage="1" sqref="O13">
      <formula1>INDIRECT($O$12)</formula1>
    </dataValidation>
    <dataValidation type="list" allowBlank="1" showInputMessage="1" showErrorMessage="1" sqref="AC13:AD13">
      <formula1>Phase</formula1>
    </dataValidation>
  </dataValidations>
  <pageMargins left="0.7" right="0.7" top="0.75" bottom="0.75" header="0.3" footer="0.3"/>
  <pageSetup paperSize="5" orientation="portrait" verticalDpi="0" r:id="rId1"/>
  <headerFooter>
    <oddHeader xml:space="preserve">&amp;R&amp;8&amp;K00-019
</oddHeader>
    <oddFooter>&amp;R&amp;8&amp;K00-047Me Box:  github.com/reatcas/me-box</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Translations!$B$1:$C$1</xm:f>
          </x14:formula1>
          <xm:sqref>AA2</xm:sqref>
        </x14:dataValidation>
        <x14:dataValidation type="list" allowBlank="1" showInputMessage="1" showErrorMessage="1">
          <x14:formula1>
            <xm:f>Translations!$A$22:$A$24</xm:f>
          </x14:formula1>
          <xm:sqref>O12</xm:sqref>
        </x14:dataValidation>
        <x14:dataValidation type="list" allowBlank="1" showInputMessage="1" showErrorMessage="1">
          <x14:formula1>
            <xm:f>Translations!$A$25:$A$32</xm:f>
          </x14:formula1>
          <xm:sqref>O14</xm:sqref>
        </x14:dataValidation>
        <x14:dataValidation type="list" allowBlank="1" showInputMessage="1" showErrorMessage="1">
          <x14:formula1>
            <xm:f>Translations!$A$47:$A$51</xm:f>
          </x14:formula1>
          <xm:sqref>O15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K121"/>
  <sheetViews>
    <sheetView view="pageLayout" zoomScale="70" zoomScaleNormal="100" zoomScalePageLayoutView="70" workbookViewId="0">
      <selection activeCell="G16" sqref="G16"/>
    </sheetView>
  </sheetViews>
  <sheetFormatPr baseColWidth="10" defaultRowHeight="15" x14ac:dyDescent="0.25"/>
  <cols>
    <col min="1" max="1" width="5" customWidth="1"/>
    <col min="2" max="2" width="15.28515625" bestFit="1" customWidth="1"/>
    <col min="3" max="3" width="49.42578125" style="10" customWidth="1"/>
    <col min="4" max="8" width="12.85546875" customWidth="1"/>
    <col min="9" max="9" width="13.140625" customWidth="1"/>
    <col min="10" max="10" width="19.42578125" customWidth="1"/>
    <col min="11" max="11" width="21.140625" customWidth="1"/>
  </cols>
  <sheetData>
    <row r="1" spans="1:11" ht="27" customHeight="1" x14ac:dyDescent="0.25">
      <c r="A1" s="5" t="s">
        <v>33</v>
      </c>
      <c r="B1" s="5" t="s">
        <v>196</v>
      </c>
      <c r="C1" s="106" t="s">
        <v>195</v>
      </c>
      <c r="D1" s="5" t="s">
        <v>157</v>
      </c>
      <c r="E1" s="5" t="s">
        <v>158</v>
      </c>
      <c r="F1" s="5" t="s">
        <v>159</v>
      </c>
      <c r="G1" s="5" t="s">
        <v>160</v>
      </c>
      <c r="H1" s="5" t="s">
        <v>161</v>
      </c>
      <c r="I1" s="212" t="s">
        <v>197</v>
      </c>
      <c r="J1" s="5" t="s">
        <v>165</v>
      </c>
      <c r="K1" s="5" t="s">
        <v>166</v>
      </c>
    </row>
    <row r="2" spans="1:11" x14ac:dyDescent="0.25">
      <c r="B2" t="s">
        <v>144</v>
      </c>
      <c r="D2" s="5"/>
      <c r="E2" s="5"/>
      <c r="F2" s="5"/>
      <c r="G2" s="5"/>
      <c r="H2" s="5"/>
      <c r="I2" s="5"/>
      <c r="J2" s="5"/>
    </row>
    <row r="3" spans="1:11" x14ac:dyDescent="0.25">
      <c r="A3">
        <v>1</v>
      </c>
    </row>
    <row r="4" spans="1:11" x14ac:dyDescent="0.25">
      <c r="A4">
        <v>2</v>
      </c>
    </row>
    <row r="5" spans="1:11" x14ac:dyDescent="0.25">
      <c r="A5">
        <v>3</v>
      </c>
    </row>
    <row r="6" spans="1:11" x14ac:dyDescent="0.25">
      <c r="A6">
        <v>4</v>
      </c>
    </row>
    <row r="7" spans="1:11" x14ac:dyDescent="0.25">
      <c r="A7">
        <v>5</v>
      </c>
    </row>
    <row r="8" spans="1:11" x14ac:dyDescent="0.25">
      <c r="A8">
        <v>6</v>
      </c>
    </row>
    <row r="9" spans="1:11" x14ac:dyDescent="0.25">
      <c r="A9">
        <v>7</v>
      </c>
    </row>
    <row r="10" spans="1:11" x14ac:dyDescent="0.25">
      <c r="A10">
        <v>8</v>
      </c>
    </row>
    <row r="11" spans="1:11" x14ac:dyDescent="0.25">
      <c r="A11">
        <v>9</v>
      </c>
    </row>
    <row r="12" spans="1:11" x14ac:dyDescent="0.25">
      <c r="B12" t="s">
        <v>145</v>
      </c>
    </row>
    <row r="13" spans="1:11" x14ac:dyDescent="0.25">
      <c r="A13">
        <v>10</v>
      </c>
    </row>
    <row r="14" spans="1:11" x14ac:dyDescent="0.25">
      <c r="A14">
        <v>11</v>
      </c>
    </row>
    <row r="15" spans="1:11" x14ac:dyDescent="0.25">
      <c r="A15">
        <v>12</v>
      </c>
    </row>
    <row r="16" spans="1:11" x14ac:dyDescent="0.25">
      <c r="A16">
        <v>13</v>
      </c>
    </row>
    <row r="17" spans="1:2" x14ac:dyDescent="0.25">
      <c r="A17">
        <v>14</v>
      </c>
    </row>
    <row r="18" spans="1:2" x14ac:dyDescent="0.25">
      <c r="A18">
        <v>15</v>
      </c>
    </row>
    <row r="19" spans="1:2" x14ac:dyDescent="0.25">
      <c r="A19">
        <v>16</v>
      </c>
    </row>
    <row r="20" spans="1:2" x14ac:dyDescent="0.25">
      <c r="A20">
        <v>17</v>
      </c>
    </row>
    <row r="21" spans="1:2" x14ac:dyDescent="0.25">
      <c r="A21">
        <v>18</v>
      </c>
    </row>
    <row r="22" spans="1:2" x14ac:dyDescent="0.25">
      <c r="A22">
        <v>19</v>
      </c>
    </row>
    <row r="23" spans="1:2" x14ac:dyDescent="0.25">
      <c r="B23" t="s">
        <v>146</v>
      </c>
    </row>
    <row r="24" spans="1:2" x14ac:dyDescent="0.25">
      <c r="A24">
        <v>20</v>
      </c>
    </row>
    <row r="25" spans="1:2" x14ac:dyDescent="0.25">
      <c r="A25">
        <v>21</v>
      </c>
    </row>
    <row r="26" spans="1:2" x14ac:dyDescent="0.25">
      <c r="A26">
        <v>22</v>
      </c>
    </row>
    <row r="27" spans="1:2" x14ac:dyDescent="0.25">
      <c r="A27">
        <v>23</v>
      </c>
    </row>
    <row r="28" spans="1:2" x14ac:dyDescent="0.25">
      <c r="A28">
        <v>24</v>
      </c>
    </row>
    <row r="29" spans="1:2" x14ac:dyDescent="0.25">
      <c r="A29">
        <v>25</v>
      </c>
    </row>
    <row r="30" spans="1:2" x14ac:dyDescent="0.25">
      <c r="A30">
        <v>26</v>
      </c>
    </row>
    <row r="31" spans="1:2" x14ac:dyDescent="0.25">
      <c r="A31">
        <v>27</v>
      </c>
    </row>
    <row r="32" spans="1:2" x14ac:dyDescent="0.25">
      <c r="A32">
        <v>28</v>
      </c>
    </row>
    <row r="33" spans="1:2" x14ac:dyDescent="0.25">
      <c r="A33">
        <v>29</v>
      </c>
    </row>
    <row r="34" spans="1:2" x14ac:dyDescent="0.25">
      <c r="B34" t="s">
        <v>147</v>
      </c>
    </row>
    <row r="35" spans="1:2" x14ac:dyDescent="0.25">
      <c r="A35">
        <v>30</v>
      </c>
    </row>
    <row r="36" spans="1:2" x14ac:dyDescent="0.25">
      <c r="A36">
        <v>31</v>
      </c>
    </row>
    <row r="37" spans="1:2" x14ac:dyDescent="0.25">
      <c r="A37">
        <v>32</v>
      </c>
    </row>
    <row r="38" spans="1:2" x14ac:dyDescent="0.25">
      <c r="A38">
        <v>33</v>
      </c>
    </row>
    <row r="39" spans="1:2" x14ac:dyDescent="0.25">
      <c r="A39">
        <v>34</v>
      </c>
    </row>
    <row r="40" spans="1:2" x14ac:dyDescent="0.25">
      <c r="A40">
        <v>35</v>
      </c>
    </row>
    <row r="41" spans="1:2" x14ac:dyDescent="0.25">
      <c r="A41">
        <v>36</v>
      </c>
    </row>
    <row r="42" spans="1:2" x14ac:dyDescent="0.25">
      <c r="A42">
        <v>37</v>
      </c>
    </row>
    <row r="43" spans="1:2" x14ac:dyDescent="0.25">
      <c r="A43">
        <v>38</v>
      </c>
    </row>
    <row r="44" spans="1:2" x14ac:dyDescent="0.25">
      <c r="A44">
        <v>39</v>
      </c>
    </row>
    <row r="45" spans="1:2" x14ac:dyDescent="0.25">
      <c r="B45" t="s">
        <v>148</v>
      </c>
    </row>
    <row r="46" spans="1:2" x14ac:dyDescent="0.25">
      <c r="A46">
        <v>40</v>
      </c>
    </row>
    <row r="47" spans="1:2" x14ac:dyDescent="0.25">
      <c r="A47">
        <v>41</v>
      </c>
    </row>
    <row r="48" spans="1:2" x14ac:dyDescent="0.25">
      <c r="A48">
        <v>42</v>
      </c>
    </row>
    <row r="49" spans="1:2" x14ac:dyDescent="0.25">
      <c r="A49">
        <v>43</v>
      </c>
    </row>
    <row r="50" spans="1:2" x14ac:dyDescent="0.25">
      <c r="A50">
        <v>44</v>
      </c>
    </row>
    <row r="51" spans="1:2" x14ac:dyDescent="0.25">
      <c r="A51">
        <v>45</v>
      </c>
    </row>
    <row r="52" spans="1:2" x14ac:dyDescent="0.25">
      <c r="A52">
        <v>46</v>
      </c>
    </row>
    <row r="53" spans="1:2" x14ac:dyDescent="0.25">
      <c r="A53">
        <v>47</v>
      </c>
    </row>
    <row r="54" spans="1:2" x14ac:dyDescent="0.25">
      <c r="A54">
        <v>48</v>
      </c>
    </row>
    <row r="55" spans="1:2" x14ac:dyDescent="0.25">
      <c r="A55">
        <v>49</v>
      </c>
    </row>
    <row r="56" spans="1:2" x14ac:dyDescent="0.25">
      <c r="B56" t="s">
        <v>149</v>
      </c>
    </row>
    <row r="57" spans="1:2" x14ac:dyDescent="0.25">
      <c r="A57">
        <v>50</v>
      </c>
    </row>
    <row r="58" spans="1:2" x14ac:dyDescent="0.25">
      <c r="A58">
        <v>51</v>
      </c>
    </row>
    <row r="59" spans="1:2" x14ac:dyDescent="0.25">
      <c r="A59">
        <v>52</v>
      </c>
    </row>
    <row r="60" spans="1:2" x14ac:dyDescent="0.25">
      <c r="A60">
        <v>53</v>
      </c>
    </row>
    <row r="61" spans="1:2" x14ac:dyDescent="0.25">
      <c r="A61">
        <v>54</v>
      </c>
    </row>
    <row r="62" spans="1:2" x14ac:dyDescent="0.25">
      <c r="A62">
        <v>55</v>
      </c>
    </row>
    <row r="63" spans="1:2" x14ac:dyDescent="0.25">
      <c r="A63">
        <v>56</v>
      </c>
    </row>
    <row r="64" spans="1:2" x14ac:dyDescent="0.25">
      <c r="A64">
        <v>57</v>
      </c>
    </row>
    <row r="65" spans="1:2" x14ac:dyDescent="0.25">
      <c r="A65">
        <v>58</v>
      </c>
    </row>
    <row r="66" spans="1:2" x14ac:dyDescent="0.25">
      <c r="A66">
        <v>59</v>
      </c>
    </row>
    <row r="67" spans="1:2" x14ac:dyDescent="0.25">
      <c r="B67" t="s">
        <v>150</v>
      </c>
    </row>
    <row r="68" spans="1:2" x14ac:dyDescent="0.25">
      <c r="A68">
        <v>60</v>
      </c>
    </row>
    <row r="69" spans="1:2" x14ac:dyDescent="0.25">
      <c r="A69">
        <v>61</v>
      </c>
    </row>
    <row r="70" spans="1:2" x14ac:dyDescent="0.25">
      <c r="A70">
        <v>62</v>
      </c>
    </row>
    <row r="71" spans="1:2" x14ac:dyDescent="0.25">
      <c r="A71">
        <v>63</v>
      </c>
    </row>
    <row r="72" spans="1:2" x14ac:dyDescent="0.25">
      <c r="A72">
        <v>64</v>
      </c>
    </row>
    <row r="73" spans="1:2" x14ac:dyDescent="0.25">
      <c r="A73">
        <v>65</v>
      </c>
    </row>
    <row r="74" spans="1:2" x14ac:dyDescent="0.25">
      <c r="A74">
        <v>66</v>
      </c>
    </row>
    <row r="75" spans="1:2" x14ac:dyDescent="0.25">
      <c r="A75">
        <v>67</v>
      </c>
    </row>
    <row r="76" spans="1:2" x14ac:dyDescent="0.25">
      <c r="A76">
        <v>68</v>
      </c>
    </row>
    <row r="77" spans="1:2" x14ac:dyDescent="0.25">
      <c r="A77">
        <v>69</v>
      </c>
    </row>
    <row r="78" spans="1:2" x14ac:dyDescent="0.25">
      <c r="B78" t="s">
        <v>151</v>
      </c>
    </row>
    <row r="79" spans="1:2" x14ac:dyDescent="0.25">
      <c r="A79">
        <v>70</v>
      </c>
    </row>
    <row r="80" spans="1:2" x14ac:dyDescent="0.25">
      <c r="A80">
        <v>71</v>
      </c>
    </row>
    <row r="81" spans="1:2" x14ac:dyDescent="0.25">
      <c r="A81">
        <v>72</v>
      </c>
    </row>
    <row r="82" spans="1:2" x14ac:dyDescent="0.25">
      <c r="A82">
        <v>73</v>
      </c>
    </row>
    <row r="83" spans="1:2" x14ac:dyDescent="0.25">
      <c r="A83">
        <v>74</v>
      </c>
    </row>
    <row r="84" spans="1:2" x14ac:dyDescent="0.25">
      <c r="A84">
        <v>75</v>
      </c>
    </row>
    <row r="85" spans="1:2" x14ac:dyDescent="0.25">
      <c r="A85">
        <v>76</v>
      </c>
    </row>
    <row r="86" spans="1:2" x14ac:dyDescent="0.25">
      <c r="A86">
        <v>77</v>
      </c>
    </row>
    <row r="87" spans="1:2" x14ac:dyDescent="0.25">
      <c r="A87">
        <v>78</v>
      </c>
    </row>
    <row r="88" spans="1:2" x14ac:dyDescent="0.25">
      <c r="A88">
        <v>79</v>
      </c>
    </row>
    <row r="89" spans="1:2" x14ac:dyDescent="0.25">
      <c r="B89" t="s">
        <v>152</v>
      </c>
    </row>
    <row r="90" spans="1:2" x14ac:dyDescent="0.25">
      <c r="A90">
        <v>80</v>
      </c>
    </row>
    <row r="91" spans="1:2" x14ac:dyDescent="0.25">
      <c r="A91">
        <v>81</v>
      </c>
    </row>
    <row r="92" spans="1:2" x14ac:dyDescent="0.25">
      <c r="A92">
        <v>82</v>
      </c>
    </row>
    <row r="93" spans="1:2" x14ac:dyDescent="0.25">
      <c r="A93">
        <v>83</v>
      </c>
    </row>
    <row r="94" spans="1:2" x14ac:dyDescent="0.25">
      <c r="A94">
        <v>84</v>
      </c>
    </row>
    <row r="95" spans="1:2" x14ac:dyDescent="0.25">
      <c r="A95">
        <v>85</v>
      </c>
    </row>
    <row r="96" spans="1:2" x14ac:dyDescent="0.25">
      <c r="A96">
        <v>86</v>
      </c>
    </row>
    <row r="97" spans="1:2" x14ac:dyDescent="0.25">
      <c r="A97">
        <v>87</v>
      </c>
    </row>
    <row r="98" spans="1:2" x14ac:dyDescent="0.25">
      <c r="A98">
        <v>88</v>
      </c>
    </row>
    <row r="99" spans="1:2" x14ac:dyDescent="0.25">
      <c r="A99">
        <v>89</v>
      </c>
    </row>
    <row r="100" spans="1:2" x14ac:dyDescent="0.25">
      <c r="B100" t="s">
        <v>153</v>
      </c>
    </row>
    <row r="101" spans="1:2" x14ac:dyDescent="0.25">
      <c r="A101">
        <v>90</v>
      </c>
    </row>
    <row r="102" spans="1:2" x14ac:dyDescent="0.25">
      <c r="A102">
        <v>91</v>
      </c>
    </row>
    <row r="103" spans="1:2" x14ac:dyDescent="0.25">
      <c r="A103">
        <v>92</v>
      </c>
    </row>
    <row r="104" spans="1:2" x14ac:dyDescent="0.25">
      <c r="A104">
        <v>93</v>
      </c>
    </row>
    <row r="105" spans="1:2" x14ac:dyDescent="0.25">
      <c r="A105">
        <v>94</v>
      </c>
    </row>
    <row r="106" spans="1:2" x14ac:dyDescent="0.25">
      <c r="A106">
        <v>95</v>
      </c>
    </row>
    <row r="107" spans="1:2" x14ac:dyDescent="0.25">
      <c r="A107">
        <v>96</v>
      </c>
    </row>
    <row r="108" spans="1:2" x14ac:dyDescent="0.25">
      <c r="A108">
        <v>97</v>
      </c>
    </row>
    <row r="109" spans="1:2" x14ac:dyDescent="0.25">
      <c r="A109">
        <v>98</v>
      </c>
    </row>
    <row r="110" spans="1:2" x14ac:dyDescent="0.25">
      <c r="A110">
        <v>99</v>
      </c>
    </row>
    <row r="111" spans="1:2" x14ac:dyDescent="0.25">
      <c r="B111" t="s">
        <v>154</v>
      </c>
    </row>
    <row r="112" spans="1:2" x14ac:dyDescent="0.25">
      <c r="A112">
        <v>100</v>
      </c>
    </row>
    <row r="113" spans="1:1" x14ac:dyDescent="0.25">
      <c r="A113">
        <v>101</v>
      </c>
    </row>
    <row r="114" spans="1:1" x14ac:dyDescent="0.25">
      <c r="A114">
        <v>102</v>
      </c>
    </row>
    <row r="115" spans="1:1" x14ac:dyDescent="0.25">
      <c r="A115">
        <v>103</v>
      </c>
    </row>
    <row r="116" spans="1:1" x14ac:dyDescent="0.25">
      <c r="A116">
        <v>104</v>
      </c>
    </row>
    <row r="117" spans="1:1" x14ac:dyDescent="0.25">
      <c r="A117">
        <v>105</v>
      </c>
    </row>
    <row r="118" spans="1:1" x14ac:dyDescent="0.25">
      <c r="A118">
        <v>106</v>
      </c>
    </row>
    <row r="119" spans="1:1" x14ac:dyDescent="0.25">
      <c r="A119">
        <v>107</v>
      </c>
    </row>
    <row r="120" spans="1:1" x14ac:dyDescent="0.25">
      <c r="A120">
        <v>108</v>
      </c>
    </row>
    <row r="121" spans="1:1" x14ac:dyDescent="0.25">
      <c r="A121">
        <v>109</v>
      </c>
    </row>
  </sheetData>
  <pageMargins left="0.7" right="0.7" top="0.75" bottom="0.75" header="0.3" footer="0.3"/>
  <pageSetup scale="39" orientation="portrait" verticalDpi="0" r:id="rId1"/>
  <headerFooter>
    <oddFooter>&amp;R&amp;K00-049Me Box:  github.com/reatcas/me-box</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S111"/>
  <sheetViews>
    <sheetView showGridLines="0" view="pageLayout" topLeftCell="A35" zoomScale="115" zoomScaleNormal="100" zoomScalePageLayoutView="115" workbookViewId="0">
      <selection activeCell="D29" sqref="D29"/>
    </sheetView>
  </sheetViews>
  <sheetFormatPr baseColWidth="10" defaultRowHeight="11.25" x14ac:dyDescent="0.2"/>
  <cols>
    <col min="1" max="1" width="2.42578125" style="108" customWidth="1"/>
    <col min="2" max="2" width="16.28515625" style="108" customWidth="1"/>
    <col min="3" max="10" width="8.7109375" style="108" customWidth="1"/>
    <col min="11" max="11" width="7.7109375" style="108" customWidth="1"/>
    <col min="12" max="19" width="6.7109375" style="108" customWidth="1"/>
    <col min="20" max="16384" width="11.42578125" style="108"/>
  </cols>
  <sheetData>
    <row r="1" spans="1:19" x14ac:dyDescent="0.2">
      <c r="A1" s="107" t="s">
        <v>222</v>
      </c>
    </row>
    <row r="2" spans="1:19" ht="19.5" thickBot="1" x14ac:dyDescent="0.35">
      <c r="B2" s="18" t="s">
        <v>223</v>
      </c>
      <c r="C2" s="18"/>
      <c r="D2" s="18"/>
      <c r="E2" s="18"/>
      <c r="F2" s="18"/>
      <c r="G2" s="18"/>
      <c r="H2" s="109"/>
      <c r="I2" s="109"/>
      <c r="J2" s="109"/>
    </row>
    <row r="3" spans="1:19" ht="15.75" customHeight="1" x14ac:dyDescent="0.2">
      <c r="B3" s="110"/>
      <c r="C3" s="111"/>
      <c r="D3" s="111"/>
      <c r="E3" s="111"/>
      <c r="F3" s="111"/>
      <c r="G3" s="111"/>
      <c r="H3" s="111"/>
      <c r="I3" s="111"/>
      <c r="J3" s="111"/>
      <c r="K3" s="112"/>
      <c r="L3" s="113"/>
      <c r="O3" s="114"/>
      <c r="R3" s="115"/>
      <c r="S3" s="116"/>
    </row>
    <row r="4" spans="1:19" ht="15.75" customHeight="1" x14ac:dyDescent="0.2">
      <c r="B4" s="117" t="s">
        <v>28</v>
      </c>
      <c r="C4" s="206" t="str">
        <f>CONCATENATE('HM01-Form'!H4," - (",'HM01-Form'!H5,")")</f>
        <v xml:space="preserve"> - ()</v>
      </c>
      <c r="D4" s="207"/>
      <c r="E4" s="207"/>
      <c r="F4" s="207"/>
      <c r="G4" s="207"/>
      <c r="H4" s="207"/>
      <c r="I4" s="207"/>
      <c r="J4" s="207"/>
      <c r="K4" s="112"/>
      <c r="L4" s="113"/>
      <c r="O4" s="114"/>
      <c r="R4" s="115"/>
      <c r="S4" s="116"/>
    </row>
    <row r="5" spans="1:19" ht="15.75" customHeight="1" x14ac:dyDescent="0.2">
      <c r="B5" s="117" t="s">
        <v>224</v>
      </c>
      <c r="C5" s="208">
        <f>'HM01-Form'!W5</f>
        <v>0</v>
      </c>
      <c r="D5" s="209"/>
      <c r="E5" s="209"/>
      <c r="F5" s="209"/>
      <c r="G5" s="209"/>
      <c r="H5" s="209"/>
      <c r="I5" s="209"/>
      <c r="J5" s="209"/>
      <c r="K5" s="112"/>
      <c r="L5" s="113"/>
      <c r="O5" s="114"/>
      <c r="R5" s="115"/>
      <c r="S5" s="116"/>
    </row>
    <row r="6" spans="1:19" ht="15.75" customHeight="1" x14ac:dyDescent="0.2">
      <c r="B6" s="117" t="s">
        <v>1</v>
      </c>
      <c r="C6" s="208">
        <f>'HM01-Form'!H7</f>
        <v>0</v>
      </c>
      <c r="D6" s="209"/>
      <c r="E6" s="209"/>
      <c r="F6" s="209"/>
      <c r="G6" s="209"/>
      <c r="H6" s="209"/>
      <c r="I6" s="209"/>
      <c r="J6" s="209"/>
      <c r="K6" s="112"/>
      <c r="L6" s="113"/>
      <c r="O6" s="114"/>
      <c r="R6" s="115"/>
      <c r="S6" s="116"/>
    </row>
    <row r="7" spans="1:19" ht="15.75" customHeight="1" x14ac:dyDescent="0.2">
      <c r="B7" s="118" t="s">
        <v>32</v>
      </c>
      <c r="C7" s="210">
        <f>'HM01-Form'!H9</f>
        <v>0</v>
      </c>
      <c r="D7" s="211"/>
      <c r="E7" s="211"/>
      <c r="F7" s="211"/>
      <c r="G7" s="211"/>
      <c r="H7" s="211"/>
      <c r="I7" s="211"/>
      <c r="J7" s="211"/>
      <c r="K7" s="112"/>
      <c r="L7" s="113"/>
      <c r="O7" s="114"/>
      <c r="R7" s="115"/>
      <c r="S7" s="116"/>
    </row>
    <row r="8" spans="1:19" ht="15.75" customHeight="1" x14ac:dyDescent="0.2">
      <c r="B8" s="118" t="s">
        <v>225</v>
      </c>
      <c r="C8" s="119"/>
      <c r="D8" s="120"/>
      <c r="E8" s="120"/>
      <c r="F8" s="120"/>
      <c r="G8" s="120"/>
      <c r="H8" s="120"/>
      <c r="I8" s="120"/>
      <c r="J8" s="120"/>
      <c r="K8" s="112"/>
      <c r="L8" s="113"/>
      <c r="O8" s="114"/>
      <c r="R8" s="115"/>
      <c r="S8" s="116"/>
    </row>
    <row r="9" spans="1:19" ht="79.5" customHeight="1" x14ac:dyDescent="0.2">
      <c r="B9" s="121" t="s">
        <v>226</v>
      </c>
      <c r="C9" s="122"/>
      <c r="D9" s="123"/>
      <c r="E9" s="123"/>
      <c r="F9" s="123"/>
      <c r="G9" s="123"/>
      <c r="H9" s="123"/>
      <c r="I9" s="123"/>
      <c r="J9" s="123"/>
      <c r="K9" s="112"/>
      <c r="L9" s="113"/>
      <c r="O9" s="114"/>
      <c r="R9" s="115"/>
      <c r="S9" s="116"/>
    </row>
    <row r="10" spans="1:19" ht="15.75" customHeight="1" x14ac:dyDescent="0.2">
      <c r="B10" s="124"/>
      <c r="C10" s="125"/>
      <c r="D10" s="125"/>
      <c r="E10" s="125"/>
      <c r="F10" s="125"/>
      <c r="G10" s="125"/>
      <c r="H10" s="125"/>
      <c r="I10" s="126"/>
      <c r="J10" s="127"/>
    </row>
    <row r="11" spans="1:19" ht="14.25" customHeight="1" x14ac:dyDescent="0.2">
      <c r="B11" s="117" t="s">
        <v>227</v>
      </c>
      <c r="C11" s="205">
        <f>'HM01-Form'!W7</f>
        <v>0</v>
      </c>
      <c r="D11" s="128"/>
      <c r="E11" s="128"/>
      <c r="F11" s="128"/>
      <c r="G11" s="128"/>
      <c r="H11" s="128"/>
      <c r="I11" s="127"/>
      <c r="J11" s="127"/>
    </row>
    <row r="12" spans="1:19" ht="14.25" customHeight="1" x14ac:dyDescent="0.2">
      <c r="B12" s="117" t="s">
        <v>228</v>
      </c>
      <c r="C12" s="129">
        <v>2.58</v>
      </c>
      <c r="D12" s="125"/>
      <c r="E12" s="130"/>
      <c r="F12" s="130"/>
      <c r="G12" s="117" t="s">
        <v>229</v>
      </c>
      <c r="H12" s="131" t="str">
        <f>IFERROR(ROUNDUP((((POWER(C12,2)*C13*(1-C13))/(POWER(C14,2)))/(1+((POWER(C12,2)*C13*(1-C13))/(POWER(C14,2)*C11)))),0),"ERROR")</f>
        <v>ERROR</v>
      </c>
      <c r="I12" s="132"/>
      <c r="J12" s="127"/>
    </row>
    <row r="13" spans="1:19" ht="14.25" customHeight="1" x14ac:dyDescent="0.2">
      <c r="B13" s="117" t="s">
        <v>230</v>
      </c>
      <c r="C13" s="133">
        <v>0.5</v>
      </c>
      <c r="D13" s="125"/>
      <c r="E13" s="128"/>
      <c r="F13" s="128"/>
      <c r="G13" s="128"/>
      <c r="H13" s="134"/>
      <c r="I13" s="127"/>
      <c r="J13" s="127"/>
    </row>
    <row r="14" spans="1:19" ht="14.25" customHeight="1" x14ac:dyDescent="0.2">
      <c r="B14" s="117" t="s">
        <v>231</v>
      </c>
      <c r="C14" s="135">
        <v>0.01</v>
      </c>
      <c r="D14" s="125"/>
      <c r="E14" s="125"/>
      <c r="F14" s="136"/>
      <c r="G14" s="125"/>
      <c r="H14" s="125"/>
      <c r="I14" s="126"/>
      <c r="J14" s="127"/>
    </row>
    <row r="15" spans="1:19" ht="7.5" customHeight="1" x14ac:dyDescent="0.2">
      <c r="B15" s="137"/>
      <c r="C15" s="138"/>
      <c r="D15" s="125"/>
      <c r="E15" s="128"/>
      <c r="F15" s="128"/>
      <c r="G15" s="128"/>
      <c r="H15" s="128"/>
      <c r="I15" s="128"/>
      <c r="J15" s="127"/>
    </row>
    <row r="16" spans="1:19" ht="9.75" hidden="1" customHeight="1" x14ac:dyDescent="0.2">
      <c r="B16" s="137"/>
      <c r="C16" s="139"/>
      <c r="D16" s="125"/>
      <c r="E16" s="128"/>
      <c r="F16" s="128"/>
      <c r="G16" s="128"/>
      <c r="H16" s="128"/>
      <c r="I16" s="128"/>
      <c r="J16" s="127"/>
    </row>
    <row r="17" spans="2:10" ht="9.75" hidden="1" customHeight="1" x14ac:dyDescent="0.2">
      <c r="B17" s="128"/>
      <c r="C17" s="128"/>
      <c r="D17" s="128"/>
      <c r="E17" s="128"/>
      <c r="F17" s="128"/>
      <c r="G17" s="128"/>
      <c r="H17" s="128"/>
      <c r="I17" s="128"/>
      <c r="J17" s="128"/>
    </row>
    <row r="18" spans="2:10" ht="9.75" hidden="1" customHeight="1" x14ac:dyDescent="0.2">
      <c r="B18" s="128"/>
      <c r="C18" s="128"/>
      <c r="D18" s="128"/>
      <c r="E18" s="128"/>
      <c r="F18" s="128"/>
      <c r="G18" s="128"/>
      <c r="H18" s="128"/>
      <c r="I18" s="128"/>
      <c r="J18" s="128"/>
    </row>
    <row r="19" spans="2:10" ht="9.75" hidden="1" customHeight="1" x14ac:dyDescent="0.2">
      <c r="B19" s="128"/>
      <c r="C19" s="128"/>
      <c r="D19" s="128"/>
      <c r="E19" s="128"/>
      <c r="F19" s="128"/>
      <c r="G19" s="128"/>
      <c r="H19" s="128"/>
      <c r="I19" s="128"/>
      <c r="J19" s="128"/>
    </row>
    <row r="20" spans="2:10" ht="9.75" hidden="1" customHeight="1" x14ac:dyDescent="0.2">
      <c r="B20" s="128"/>
      <c r="C20" s="128"/>
      <c r="D20" s="128"/>
      <c r="E20" s="128"/>
      <c r="F20" s="128"/>
      <c r="G20" s="128"/>
      <c r="H20" s="128"/>
      <c r="I20" s="128"/>
      <c r="J20" s="128"/>
    </row>
    <row r="21" spans="2:10" ht="9.75" hidden="1" customHeight="1" x14ac:dyDescent="0.2">
      <c r="B21" s="128"/>
      <c r="C21" s="128"/>
      <c r="D21" s="128"/>
      <c r="E21" s="128"/>
      <c r="F21" s="128"/>
      <c r="G21" s="128"/>
      <c r="H21" s="128"/>
      <c r="I21" s="128"/>
      <c r="J21" s="128"/>
    </row>
    <row r="22" spans="2:10" ht="9.75" hidden="1" customHeight="1" x14ac:dyDescent="0.2">
      <c r="B22" s="128"/>
      <c r="C22" s="128"/>
      <c r="D22" s="128"/>
      <c r="E22" s="128"/>
      <c r="F22" s="128"/>
      <c r="G22" s="128"/>
      <c r="H22" s="128"/>
      <c r="I22" s="128"/>
      <c r="J22" s="128"/>
    </row>
    <row r="23" spans="2:10" ht="9.75" hidden="1" customHeight="1" x14ac:dyDescent="0.2">
      <c r="B23" s="128"/>
      <c r="C23" s="128"/>
      <c r="D23" s="128"/>
      <c r="E23" s="128"/>
      <c r="F23" s="128"/>
      <c r="G23" s="128"/>
      <c r="H23" s="128"/>
      <c r="I23" s="128"/>
      <c r="J23" s="128"/>
    </row>
    <row r="24" spans="2:10" ht="9.75" hidden="1" customHeight="1" x14ac:dyDescent="0.2">
      <c r="B24" s="128"/>
      <c r="C24" s="128"/>
      <c r="D24" s="128"/>
      <c r="E24" s="128"/>
      <c r="F24" s="128"/>
      <c r="G24" s="128"/>
      <c r="H24" s="128"/>
      <c r="I24" s="128"/>
      <c r="J24" s="128"/>
    </row>
    <row r="25" spans="2:10" ht="9.75" hidden="1" customHeight="1" x14ac:dyDescent="0.2">
      <c r="B25" s="128"/>
      <c r="C25" s="128"/>
      <c r="D25" s="128"/>
      <c r="E25" s="128"/>
      <c r="F25" s="128"/>
      <c r="G25" s="128"/>
      <c r="H25" s="128"/>
      <c r="I25" s="128"/>
      <c r="J25" s="128"/>
    </row>
    <row r="26" spans="2:10" ht="9.75" hidden="1" customHeight="1" x14ac:dyDescent="0.2">
      <c r="B26" s="128"/>
      <c r="C26" s="128"/>
      <c r="D26" s="128"/>
      <c r="E26" s="128"/>
      <c r="F26" s="128"/>
      <c r="G26" s="128"/>
      <c r="H26" s="128"/>
      <c r="I26" s="128"/>
      <c r="J26" s="128"/>
    </row>
    <row r="27" spans="2:10" ht="9.75" hidden="1" customHeight="1" x14ac:dyDescent="0.2">
      <c r="B27" s="128"/>
      <c r="C27" s="128"/>
      <c r="D27" s="128"/>
      <c r="E27" s="128"/>
      <c r="F27" s="128"/>
      <c r="G27" s="128"/>
      <c r="H27" s="128"/>
      <c r="I27" s="128"/>
      <c r="J27" s="128"/>
    </row>
    <row r="28" spans="2:10" ht="9.75" hidden="1" customHeight="1" x14ac:dyDescent="0.2">
      <c r="B28" s="128"/>
      <c r="C28" s="128"/>
      <c r="D28" s="128"/>
      <c r="J28" s="128"/>
    </row>
    <row r="29" spans="2:10" x14ac:dyDescent="0.2">
      <c r="B29" s="128"/>
      <c r="C29" s="128"/>
      <c r="D29" s="128"/>
      <c r="J29" s="128"/>
    </row>
    <row r="49" spans="1:12" x14ac:dyDescent="0.2">
      <c r="A49" s="140"/>
      <c r="B49" s="140"/>
      <c r="C49" s="140"/>
      <c r="D49" s="140"/>
      <c r="E49" s="140"/>
      <c r="F49" s="140"/>
      <c r="G49" s="140"/>
      <c r="H49" s="140"/>
      <c r="I49" s="140"/>
      <c r="J49" s="140"/>
    </row>
    <row r="50" spans="1:12" ht="11.25" customHeight="1" x14ac:dyDescent="0.2">
      <c r="A50" s="141"/>
      <c r="B50" s="142"/>
      <c r="C50" s="142"/>
      <c r="D50" s="143" t="s">
        <v>232</v>
      </c>
      <c r="E50" s="144"/>
      <c r="F50" s="144"/>
      <c r="G50" s="144"/>
      <c r="H50" s="144"/>
      <c r="I50" s="144"/>
      <c r="J50" s="144"/>
    </row>
    <row r="51" spans="1:12" ht="17.25" customHeight="1" x14ac:dyDescent="0.2">
      <c r="A51" s="145" t="s">
        <v>233</v>
      </c>
      <c r="B51" s="145"/>
      <c r="C51" s="146"/>
      <c r="D51" s="147" t="s">
        <v>234</v>
      </c>
      <c r="E51" s="147"/>
      <c r="F51" s="147"/>
      <c r="G51" s="147"/>
      <c r="H51" s="147"/>
      <c r="I51" s="147"/>
      <c r="J51" s="147"/>
      <c r="K51" s="148"/>
    </row>
    <row r="52" spans="1:12" ht="17.25" customHeight="1" x14ac:dyDescent="0.2">
      <c r="A52" s="145"/>
      <c r="B52" s="145"/>
      <c r="C52" s="146"/>
      <c r="D52" s="147"/>
      <c r="E52" s="147"/>
      <c r="F52" s="147"/>
      <c r="G52" s="147"/>
      <c r="H52" s="147"/>
      <c r="I52" s="147"/>
      <c r="J52" s="147"/>
      <c r="K52" s="148"/>
    </row>
    <row r="53" spans="1:12" ht="17.25" customHeight="1" x14ac:dyDescent="0.2">
      <c r="A53" s="145"/>
      <c r="B53" s="145"/>
      <c r="C53" s="146"/>
      <c r="D53" s="147"/>
      <c r="E53" s="147"/>
      <c r="F53" s="147"/>
      <c r="G53" s="147"/>
      <c r="H53" s="147"/>
      <c r="I53" s="147"/>
      <c r="J53" s="147"/>
      <c r="K53" s="148"/>
    </row>
    <row r="54" spans="1:12" ht="17.25" customHeight="1" x14ac:dyDescent="0.2">
      <c r="A54" s="145"/>
      <c r="B54" s="145"/>
      <c r="C54" s="146"/>
      <c r="D54" s="147"/>
      <c r="E54" s="147"/>
      <c r="F54" s="147"/>
      <c r="G54" s="147"/>
      <c r="H54" s="147"/>
      <c r="I54" s="147"/>
      <c r="J54" s="147"/>
      <c r="K54" s="148"/>
    </row>
    <row r="55" spans="1:12" ht="17.25" customHeight="1" x14ac:dyDescent="0.2">
      <c r="A55" s="145"/>
      <c r="B55" s="145"/>
      <c r="C55" s="146"/>
      <c r="D55" s="147"/>
      <c r="E55" s="147"/>
      <c r="F55" s="147"/>
      <c r="G55" s="147"/>
      <c r="H55" s="147"/>
      <c r="I55" s="147"/>
      <c r="J55" s="147"/>
      <c r="K55" s="148"/>
    </row>
    <row r="56" spans="1:12" ht="17.25" customHeight="1" x14ac:dyDescent="0.2">
      <c r="A56" s="145"/>
      <c r="B56" s="145"/>
      <c r="C56" s="146"/>
      <c r="D56" s="147"/>
      <c r="E56" s="147"/>
      <c r="F56" s="147"/>
      <c r="G56" s="147"/>
      <c r="H56" s="147"/>
      <c r="I56" s="147"/>
      <c r="J56" s="147"/>
      <c r="K56" s="148"/>
    </row>
    <row r="57" spans="1:12" ht="8.25" customHeight="1" x14ac:dyDescent="0.2">
      <c r="A57" s="149"/>
      <c r="B57" s="149"/>
      <c r="C57" s="149"/>
      <c r="D57" s="150"/>
      <c r="E57" s="151"/>
      <c r="F57" s="151"/>
      <c r="G57" s="151"/>
      <c r="H57" s="151"/>
      <c r="I57" s="151"/>
      <c r="J57" s="151"/>
      <c r="K57" s="151"/>
    </row>
    <row r="58" spans="1:12" ht="8.25" customHeight="1" x14ac:dyDescent="0.2">
      <c r="A58" s="149"/>
      <c r="B58" s="149"/>
      <c r="C58" s="149"/>
      <c r="D58" s="150"/>
      <c r="E58" s="151"/>
      <c r="F58" s="151"/>
      <c r="G58" s="151"/>
      <c r="H58" s="151"/>
      <c r="I58" s="151"/>
      <c r="J58" s="151"/>
      <c r="K58" s="151"/>
    </row>
    <row r="59" spans="1:12" ht="24" customHeight="1" x14ac:dyDescent="0.2">
      <c r="A59" s="152" t="s">
        <v>235</v>
      </c>
      <c r="B59" s="152"/>
      <c r="C59" s="152"/>
      <c r="D59" s="152"/>
      <c r="E59" s="152"/>
      <c r="F59" s="152"/>
      <c r="G59" s="152"/>
      <c r="H59" s="152"/>
      <c r="I59" s="152"/>
      <c r="J59" s="152"/>
      <c r="K59" s="153"/>
    </row>
    <row r="60" spans="1:12" ht="11.25" customHeight="1" x14ac:dyDescent="0.2">
      <c r="A60" s="154" t="s">
        <v>236</v>
      </c>
      <c r="B60" s="154"/>
      <c r="C60" s="154"/>
      <c r="D60" s="154"/>
      <c r="E60" s="154"/>
      <c r="F60" s="154"/>
      <c r="G60" s="154"/>
      <c r="H60" s="154"/>
      <c r="I60" s="154"/>
      <c r="J60" s="154"/>
      <c r="K60" s="155"/>
      <c r="L60" s="156"/>
    </row>
    <row r="61" spans="1:12" ht="8.25" customHeight="1" x14ac:dyDescent="0.2">
      <c r="A61" s="149"/>
      <c r="B61" s="149"/>
      <c r="C61" s="149"/>
      <c r="D61" s="150"/>
      <c r="E61" s="151"/>
      <c r="F61" s="151"/>
      <c r="G61" s="151"/>
      <c r="H61" s="151"/>
      <c r="I61" s="151"/>
      <c r="J61" s="151"/>
      <c r="K61" s="151"/>
    </row>
    <row r="62" spans="1:12" ht="8.25" customHeight="1" x14ac:dyDescent="0.2">
      <c r="A62" s="149"/>
      <c r="B62" s="149"/>
      <c r="C62" s="149"/>
      <c r="D62" s="150"/>
      <c r="E62" s="151"/>
      <c r="F62" s="151"/>
      <c r="G62" s="151"/>
      <c r="H62" s="151"/>
      <c r="I62" s="151"/>
      <c r="J62" s="151"/>
      <c r="K62" s="151"/>
    </row>
    <row r="63" spans="1:12" ht="8.25" customHeight="1" x14ac:dyDescent="0.2">
      <c r="A63" s="149"/>
      <c r="B63" s="149"/>
      <c r="C63" s="149"/>
      <c r="D63" s="150"/>
      <c r="E63" s="151"/>
      <c r="F63" s="151"/>
      <c r="G63" s="151"/>
      <c r="H63" s="151"/>
      <c r="I63" s="151"/>
      <c r="J63" s="151"/>
      <c r="K63" s="151"/>
    </row>
    <row r="64" spans="1:12" x14ac:dyDescent="0.2">
      <c r="A64" s="149"/>
      <c r="B64" s="149"/>
      <c r="C64" s="149"/>
      <c r="D64" s="150"/>
      <c r="E64" s="151"/>
      <c r="F64" s="151"/>
      <c r="G64" s="151"/>
      <c r="H64" s="151"/>
      <c r="I64" s="151"/>
      <c r="J64" s="151"/>
      <c r="K64" s="151"/>
    </row>
    <row r="65" spans="2:11" x14ac:dyDescent="0.2">
      <c r="K65" s="157"/>
    </row>
    <row r="66" spans="2:11" ht="19.5" thickBot="1" x14ac:dyDescent="0.35">
      <c r="B66" s="18" t="s">
        <v>237</v>
      </c>
      <c r="C66" s="18"/>
      <c r="D66" s="18"/>
      <c r="E66" s="18"/>
      <c r="F66" s="18"/>
      <c r="G66" s="18"/>
      <c r="H66" s="18"/>
      <c r="I66" s="18"/>
      <c r="J66" s="18"/>
      <c r="K66" s="157"/>
    </row>
    <row r="67" spans="2:11" ht="12.75" x14ac:dyDescent="0.2">
      <c r="B67" s="158"/>
      <c r="C67" s="158"/>
      <c r="D67" s="158"/>
      <c r="E67" s="158"/>
      <c r="F67" s="158"/>
      <c r="G67" s="158"/>
      <c r="H67" s="158"/>
      <c r="I67" s="158"/>
      <c r="J67" s="158"/>
      <c r="K67" s="157"/>
    </row>
    <row r="68" spans="2:11" ht="143.25" customHeight="1" x14ac:dyDescent="0.2">
      <c r="B68" s="159" t="s">
        <v>238</v>
      </c>
      <c r="C68" s="159"/>
      <c r="D68" s="159"/>
      <c r="E68" s="159"/>
      <c r="F68" s="159"/>
      <c r="G68" s="159"/>
      <c r="H68" s="159"/>
      <c r="I68" s="159"/>
      <c r="J68" s="159"/>
      <c r="K68" s="157"/>
    </row>
    <row r="69" spans="2:11" ht="12" thickBot="1" x14ac:dyDescent="0.25">
      <c r="K69" s="157"/>
    </row>
    <row r="70" spans="2:11" x14ac:dyDescent="0.2">
      <c r="B70" s="160" t="s">
        <v>239</v>
      </c>
      <c r="C70" s="161" t="s">
        <v>240</v>
      </c>
      <c r="D70" s="162"/>
      <c r="E70" s="163"/>
      <c r="F70" s="164">
        <v>1.96</v>
      </c>
      <c r="G70" s="165" t="s">
        <v>241</v>
      </c>
      <c r="H70" s="162"/>
      <c r="I70" s="165"/>
      <c r="J70" s="166">
        <v>2.58</v>
      </c>
      <c r="K70" s="157"/>
    </row>
    <row r="71" spans="2:11" ht="15" customHeight="1" x14ac:dyDescent="0.2">
      <c r="B71" s="167"/>
      <c r="C71" s="168" t="s">
        <v>242</v>
      </c>
      <c r="D71" s="169"/>
      <c r="E71" s="169"/>
      <c r="F71" s="170"/>
      <c r="G71" s="168" t="s">
        <v>242</v>
      </c>
      <c r="H71" s="169"/>
      <c r="I71" s="169"/>
      <c r="J71" s="171"/>
      <c r="K71" s="157"/>
    </row>
    <row r="72" spans="2:11" ht="10.5" customHeight="1" thickBot="1" x14ac:dyDescent="0.25">
      <c r="B72" s="172"/>
      <c r="C72" s="173">
        <v>0.05</v>
      </c>
      <c r="D72" s="173">
        <v>3.5000000000000003E-2</v>
      </c>
      <c r="E72" s="173">
        <v>2.5000000000000001E-2</v>
      </c>
      <c r="F72" s="173">
        <v>0.01</v>
      </c>
      <c r="G72" s="173">
        <v>0.05</v>
      </c>
      <c r="H72" s="173">
        <v>3.5000000000000003E-2</v>
      </c>
      <c r="I72" s="173">
        <v>2.5000000000000001E-2</v>
      </c>
      <c r="J72" s="174">
        <v>0.01</v>
      </c>
      <c r="K72" s="157"/>
    </row>
    <row r="73" spans="2:11" ht="10.5" customHeight="1" thickTop="1" x14ac:dyDescent="0.2">
      <c r="B73" s="175">
        <v>10</v>
      </c>
      <c r="C73" s="176">
        <f t="shared" ref="C73:F92" si="0">ROUNDUP((((POWER($F$70,2)*0.5*(1-0.5))/(POWER(C$72,2)))/(1+((POWER($F$70,2)*0.5*(1-0.5))/(POWER(C$72,2)*$B73)))),0)</f>
        <v>10</v>
      </c>
      <c r="D73" s="176">
        <f t="shared" si="0"/>
        <v>10</v>
      </c>
      <c r="E73" s="176">
        <f t="shared" si="0"/>
        <v>10</v>
      </c>
      <c r="F73" s="176">
        <f t="shared" si="0"/>
        <v>10</v>
      </c>
      <c r="G73" s="176">
        <f t="shared" ref="G73:J92" si="1">ROUNDUP((((POWER($J$70,2)*0.5*(1-0.5))/(POWER(G$72,2)))/(1+((POWER($J$70,2)*0.5*(1-0.5))/(POWER(G$72,2)*$B73)))),0)</f>
        <v>10</v>
      </c>
      <c r="H73" s="176">
        <f t="shared" si="1"/>
        <v>10</v>
      </c>
      <c r="I73" s="176">
        <f t="shared" si="1"/>
        <v>10</v>
      </c>
      <c r="J73" s="177">
        <f t="shared" si="1"/>
        <v>10</v>
      </c>
      <c r="K73" s="157"/>
    </row>
    <row r="74" spans="2:11" ht="10.5" customHeight="1" x14ac:dyDescent="0.2">
      <c r="B74" s="175">
        <v>20</v>
      </c>
      <c r="C74" s="176">
        <f t="shared" si="0"/>
        <v>20</v>
      </c>
      <c r="D74" s="176">
        <f t="shared" si="0"/>
        <v>20</v>
      </c>
      <c r="E74" s="176">
        <f t="shared" si="0"/>
        <v>20</v>
      </c>
      <c r="F74" s="176">
        <f t="shared" si="0"/>
        <v>20</v>
      </c>
      <c r="G74" s="176">
        <f t="shared" si="1"/>
        <v>20</v>
      </c>
      <c r="H74" s="176">
        <f t="shared" si="1"/>
        <v>20</v>
      </c>
      <c r="I74" s="176">
        <f t="shared" si="1"/>
        <v>20</v>
      </c>
      <c r="J74" s="177">
        <f t="shared" si="1"/>
        <v>20</v>
      </c>
      <c r="K74" s="157"/>
    </row>
    <row r="75" spans="2:11" ht="10.5" customHeight="1" x14ac:dyDescent="0.2">
      <c r="B75" s="175">
        <v>30</v>
      </c>
      <c r="C75" s="176">
        <f t="shared" si="0"/>
        <v>28</v>
      </c>
      <c r="D75" s="176">
        <f t="shared" si="0"/>
        <v>29</v>
      </c>
      <c r="E75" s="176">
        <f t="shared" si="0"/>
        <v>30</v>
      </c>
      <c r="F75" s="176">
        <f t="shared" si="0"/>
        <v>30</v>
      </c>
      <c r="G75" s="176">
        <f t="shared" si="1"/>
        <v>29</v>
      </c>
      <c r="H75" s="176">
        <f t="shared" si="1"/>
        <v>30</v>
      </c>
      <c r="I75" s="176">
        <f t="shared" si="1"/>
        <v>30</v>
      </c>
      <c r="J75" s="177">
        <f t="shared" si="1"/>
        <v>30</v>
      </c>
    </row>
    <row r="76" spans="2:11" ht="10.5" customHeight="1" x14ac:dyDescent="0.2">
      <c r="B76" s="175">
        <v>50</v>
      </c>
      <c r="C76" s="176">
        <f t="shared" si="0"/>
        <v>45</v>
      </c>
      <c r="D76" s="176">
        <f t="shared" si="0"/>
        <v>48</v>
      </c>
      <c r="E76" s="176">
        <f t="shared" si="0"/>
        <v>49</v>
      </c>
      <c r="F76" s="176">
        <f t="shared" si="0"/>
        <v>50</v>
      </c>
      <c r="G76" s="176">
        <f t="shared" si="1"/>
        <v>47</v>
      </c>
      <c r="H76" s="176">
        <f t="shared" si="1"/>
        <v>49</v>
      </c>
      <c r="I76" s="176">
        <f t="shared" si="1"/>
        <v>50</v>
      </c>
      <c r="J76" s="177">
        <f t="shared" si="1"/>
        <v>50</v>
      </c>
    </row>
    <row r="77" spans="2:11" ht="10.5" customHeight="1" x14ac:dyDescent="0.2">
      <c r="B77" s="178">
        <v>75</v>
      </c>
      <c r="C77" s="179">
        <f t="shared" si="0"/>
        <v>63</v>
      </c>
      <c r="D77" s="179">
        <f t="shared" si="0"/>
        <v>69</v>
      </c>
      <c r="E77" s="179">
        <f t="shared" si="0"/>
        <v>72</v>
      </c>
      <c r="F77" s="179">
        <f t="shared" si="0"/>
        <v>75</v>
      </c>
      <c r="G77" s="179">
        <f t="shared" si="1"/>
        <v>68</v>
      </c>
      <c r="H77" s="179">
        <f t="shared" si="1"/>
        <v>72</v>
      </c>
      <c r="I77" s="179">
        <f t="shared" si="1"/>
        <v>73</v>
      </c>
      <c r="J77" s="180">
        <f t="shared" si="1"/>
        <v>75</v>
      </c>
    </row>
    <row r="78" spans="2:11" ht="10.5" customHeight="1" x14ac:dyDescent="0.2">
      <c r="B78" s="175">
        <v>100</v>
      </c>
      <c r="C78" s="176">
        <f t="shared" si="0"/>
        <v>80</v>
      </c>
      <c r="D78" s="176">
        <f t="shared" si="0"/>
        <v>89</v>
      </c>
      <c r="E78" s="176">
        <f t="shared" si="0"/>
        <v>94</v>
      </c>
      <c r="F78" s="176">
        <f t="shared" si="0"/>
        <v>99</v>
      </c>
      <c r="G78" s="176">
        <f t="shared" si="1"/>
        <v>87</v>
      </c>
      <c r="H78" s="176">
        <f t="shared" si="1"/>
        <v>94</v>
      </c>
      <c r="I78" s="176">
        <f t="shared" si="1"/>
        <v>97</v>
      </c>
      <c r="J78" s="177">
        <f t="shared" si="1"/>
        <v>100</v>
      </c>
    </row>
    <row r="79" spans="2:11" ht="10.5" customHeight="1" x14ac:dyDescent="0.2">
      <c r="B79" s="175">
        <v>150</v>
      </c>
      <c r="C79" s="176">
        <f t="shared" si="0"/>
        <v>108</v>
      </c>
      <c r="D79" s="176">
        <f t="shared" si="0"/>
        <v>126</v>
      </c>
      <c r="E79" s="176">
        <f t="shared" si="0"/>
        <v>137</v>
      </c>
      <c r="F79" s="176">
        <f t="shared" si="0"/>
        <v>148</v>
      </c>
      <c r="G79" s="176">
        <f t="shared" si="1"/>
        <v>123</v>
      </c>
      <c r="H79" s="176">
        <f t="shared" si="1"/>
        <v>136</v>
      </c>
      <c r="I79" s="176">
        <f t="shared" si="1"/>
        <v>143</v>
      </c>
      <c r="J79" s="177">
        <f t="shared" si="1"/>
        <v>149</v>
      </c>
    </row>
    <row r="80" spans="2:11" ht="10.5" customHeight="1" x14ac:dyDescent="0.2">
      <c r="B80" s="175">
        <v>200</v>
      </c>
      <c r="C80" s="176">
        <f t="shared" si="0"/>
        <v>132</v>
      </c>
      <c r="D80" s="176">
        <f t="shared" si="0"/>
        <v>160</v>
      </c>
      <c r="E80" s="176">
        <f t="shared" si="0"/>
        <v>177</v>
      </c>
      <c r="F80" s="176">
        <f t="shared" si="0"/>
        <v>196</v>
      </c>
      <c r="G80" s="176">
        <f t="shared" si="1"/>
        <v>154</v>
      </c>
      <c r="H80" s="176">
        <f t="shared" si="1"/>
        <v>175</v>
      </c>
      <c r="I80" s="176">
        <f t="shared" si="1"/>
        <v>187</v>
      </c>
      <c r="J80" s="177">
        <f t="shared" si="1"/>
        <v>198</v>
      </c>
    </row>
    <row r="81" spans="2:10" ht="10.5" customHeight="1" x14ac:dyDescent="0.2">
      <c r="B81" s="175">
        <v>250</v>
      </c>
      <c r="C81" s="176">
        <f t="shared" si="0"/>
        <v>152</v>
      </c>
      <c r="D81" s="176">
        <f t="shared" si="0"/>
        <v>190</v>
      </c>
      <c r="E81" s="176">
        <f t="shared" si="0"/>
        <v>216</v>
      </c>
      <c r="F81" s="176">
        <f t="shared" si="0"/>
        <v>244</v>
      </c>
      <c r="G81" s="176">
        <f t="shared" si="1"/>
        <v>182</v>
      </c>
      <c r="H81" s="176">
        <f t="shared" si="1"/>
        <v>212</v>
      </c>
      <c r="I81" s="176">
        <f t="shared" si="1"/>
        <v>229</v>
      </c>
      <c r="J81" s="177">
        <f t="shared" si="1"/>
        <v>247</v>
      </c>
    </row>
    <row r="82" spans="2:10" ht="10.5" customHeight="1" x14ac:dyDescent="0.2">
      <c r="B82" s="178">
        <v>300</v>
      </c>
      <c r="C82" s="179">
        <f t="shared" si="0"/>
        <v>169</v>
      </c>
      <c r="D82" s="179">
        <f t="shared" si="0"/>
        <v>217</v>
      </c>
      <c r="E82" s="179">
        <f t="shared" si="0"/>
        <v>251</v>
      </c>
      <c r="F82" s="179">
        <f t="shared" si="0"/>
        <v>291</v>
      </c>
      <c r="G82" s="179">
        <f t="shared" si="1"/>
        <v>207</v>
      </c>
      <c r="H82" s="179">
        <f t="shared" si="1"/>
        <v>246</v>
      </c>
      <c r="I82" s="179">
        <f t="shared" si="1"/>
        <v>270</v>
      </c>
      <c r="J82" s="180">
        <f t="shared" si="1"/>
        <v>295</v>
      </c>
    </row>
    <row r="83" spans="2:10" ht="10.5" customHeight="1" x14ac:dyDescent="0.2">
      <c r="B83" s="175">
        <v>400</v>
      </c>
      <c r="C83" s="176">
        <f t="shared" si="0"/>
        <v>196</v>
      </c>
      <c r="D83" s="176">
        <f t="shared" si="0"/>
        <v>265</v>
      </c>
      <c r="E83" s="176">
        <f t="shared" si="0"/>
        <v>318</v>
      </c>
      <c r="F83" s="176">
        <f t="shared" si="0"/>
        <v>385</v>
      </c>
      <c r="G83" s="176">
        <f t="shared" si="1"/>
        <v>250</v>
      </c>
      <c r="H83" s="176">
        <f t="shared" si="1"/>
        <v>310</v>
      </c>
      <c r="I83" s="176">
        <f t="shared" si="1"/>
        <v>348</v>
      </c>
      <c r="J83" s="177">
        <f t="shared" si="1"/>
        <v>391</v>
      </c>
    </row>
    <row r="84" spans="2:10" ht="10.5" customHeight="1" x14ac:dyDescent="0.2">
      <c r="B84" s="175">
        <v>500</v>
      </c>
      <c r="C84" s="176">
        <f t="shared" si="0"/>
        <v>218</v>
      </c>
      <c r="D84" s="176">
        <f t="shared" si="0"/>
        <v>306</v>
      </c>
      <c r="E84" s="176">
        <f t="shared" si="0"/>
        <v>378</v>
      </c>
      <c r="F84" s="176">
        <f t="shared" si="0"/>
        <v>476</v>
      </c>
      <c r="G84" s="176">
        <f t="shared" si="1"/>
        <v>286</v>
      </c>
      <c r="H84" s="176">
        <f t="shared" si="1"/>
        <v>366</v>
      </c>
      <c r="I84" s="176">
        <f t="shared" si="1"/>
        <v>421</v>
      </c>
      <c r="J84" s="177">
        <f t="shared" si="1"/>
        <v>486</v>
      </c>
    </row>
    <row r="85" spans="2:10" ht="10.5" customHeight="1" x14ac:dyDescent="0.2">
      <c r="B85" s="175">
        <v>600</v>
      </c>
      <c r="C85" s="176">
        <f t="shared" si="0"/>
        <v>235</v>
      </c>
      <c r="D85" s="176">
        <f t="shared" si="0"/>
        <v>340</v>
      </c>
      <c r="E85" s="176">
        <f t="shared" si="0"/>
        <v>432</v>
      </c>
      <c r="F85" s="176">
        <f t="shared" si="0"/>
        <v>565</v>
      </c>
      <c r="G85" s="176">
        <f t="shared" si="1"/>
        <v>316</v>
      </c>
      <c r="H85" s="176">
        <f t="shared" si="1"/>
        <v>417</v>
      </c>
      <c r="I85" s="176">
        <f t="shared" si="1"/>
        <v>490</v>
      </c>
      <c r="J85" s="177">
        <f t="shared" si="1"/>
        <v>580</v>
      </c>
    </row>
    <row r="86" spans="2:10" ht="10.5" customHeight="1" x14ac:dyDescent="0.2">
      <c r="B86" s="175">
        <v>700</v>
      </c>
      <c r="C86" s="176">
        <f t="shared" si="0"/>
        <v>249</v>
      </c>
      <c r="D86" s="176">
        <f t="shared" si="0"/>
        <v>370</v>
      </c>
      <c r="E86" s="176">
        <f t="shared" si="0"/>
        <v>481</v>
      </c>
      <c r="F86" s="176">
        <f t="shared" si="0"/>
        <v>653</v>
      </c>
      <c r="G86" s="176">
        <f t="shared" si="1"/>
        <v>342</v>
      </c>
      <c r="H86" s="176">
        <f t="shared" si="1"/>
        <v>462</v>
      </c>
      <c r="I86" s="176">
        <f t="shared" si="1"/>
        <v>555</v>
      </c>
      <c r="J86" s="177">
        <f t="shared" si="1"/>
        <v>672</v>
      </c>
    </row>
    <row r="87" spans="2:10" ht="10.5" customHeight="1" x14ac:dyDescent="0.2">
      <c r="B87" s="178">
        <v>800</v>
      </c>
      <c r="C87" s="179">
        <f t="shared" si="0"/>
        <v>260</v>
      </c>
      <c r="D87" s="179">
        <f t="shared" si="0"/>
        <v>396</v>
      </c>
      <c r="E87" s="179">
        <f t="shared" si="0"/>
        <v>527</v>
      </c>
      <c r="F87" s="179">
        <f t="shared" si="0"/>
        <v>739</v>
      </c>
      <c r="G87" s="179">
        <f t="shared" si="1"/>
        <v>364</v>
      </c>
      <c r="H87" s="179">
        <f t="shared" si="1"/>
        <v>504</v>
      </c>
      <c r="I87" s="179">
        <f t="shared" si="1"/>
        <v>616</v>
      </c>
      <c r="J87" s="180">
        <f t="shared" si="1"/>
        <v>764</v>
      </c>
    </row>
    <row r="88" spans="2:10" ht="10.5" customHeight="1" x14ac:dyDescent="0.2">
      <c r="B88" s="175">
        <v>1000</v>
      </c>
      <c r="C88" s="176">
        <f t="shared" si="0"/>
        <v>278</v>
      </c>
      <c r="D88" s="176">
        <f t="shared" si="0"/>
        <v>440</v>
      </c>
      <c r="E88" s="176">
        <f t="shared" si="0"/>
        <v>606</v>
      </c>
      <c r="F88" s="176">
        <f t="shared" si="0"/>
        <v>906</v>
      </c>
      <c r="G88" s="176">
        <f t="shared" si="1"/>
        <v>400</v>
      </c>
      <c r="H88" s="176">
        <f t="shared" si="1"/>
        <v>576</v>
      </c>
      <c r="I88" s="176">
        <f t="shared" si="1"/>
        <v>727</v>
      </c>
      <c r="J88" s="177">
        <f t="shared" si="1"/>
        <v>944</v>
      </c>
    </row>
    <row r="89" spans="2:10" ht="10.5" customHeight="1" x14ac:dyDescent="0.2">
      <c r="B89" s="175">
        <v>1200</v>
      </c>
      <c r="C89" s="176">
        <f t="shared" si="0"/>
        <v>292</v>
      </c>
      <c r="D89" s="176">
        <f t="shared" si="0"/>
        <v>475</v>
      </c>
      <c r="E89" s="176">
        <f t="shared" si="0"/>
        <v>674</v>
      </c>
      <c r="F89" s="176">
        <f t="shared" si="0"/>
        <v>1067</v>
      </c>
      <c r="G89" s="176">
        <f t="shared" si="1"/>
        <v>429</v>
      </c>
      <c r="H89" s="176">
        <f t="shared" si="1"/>
        <v>638</v>
      </c>
      <c r="I89" s="176">
        <f t="shared" si="1"/>
        <v>828</v>
      </c>
      <c r="J89" s="177">
        <f t="shared" si="1"/>
        <v>1120</v>
      </c>
    </row>
    <row r="90" spans="2:10" ht="10.5" customHeight="1" x14ac:dyDescent="0.2">
      <c r="B90" s="175">
        <v>1500</v>
      </c>
      <c r="C90" s="176">
        <f t="shared" si="0"/>
        <v>306</v>
      </c>
      <c r="D90" s="176">
        <f t="shared" si="0"/>
        <v>515</v>
      </c>
      <c r="E90" s="176">
        <f t="shared" si="0"/>
        <v>760</v>
      </c>
      <c r="F90" s="176">
        <f t="shared" si="0"/>
        <v>1298</v>
      </c>
      <c r="G90" s="176">
        <f t="shared" si="1"/>
        <v>462</v>
      </c>
      <c r="H90" s="176">
        <f t="shared" si="1"/>
        <v>713</v>
      </c>
      <c r="I90" s="176">
        <f t="shared" si="1"/>
        <v>960</v>
      </c>
      <c r="J90" s="177">
        <f t="shared" si="1"/>
        <v>1376</v>
      </c>
    </row>
    <row r="91" spans="2:10" ht="10.5" customHeight="1" x14ac:dyDescent="0.2">
      <c r="B91" s="175">
        <v>2000</v>
      </c>
      <c r="C91" s="176">
        <f t="shared" si="0"/>
        <v>323</v>
      </c>
      <c r="D91" s="176">
        <f t="shared" si="0"/>
        <v>564</v>
      </c>
      <c r="E91" s="176">
        <f t="shared" si="0"/>
        <v>869</v>
      </c>
      <c r="F91" s="176">
        <f t="shared" si="0"/>
        <v>1656</v>
      </c>
      <c r="G91" s="176">
        <f t="shared" si="1"/>
        <v>500</v>
      </c>
      <c r="H91" s="176">
        <f t="shared" si="1"/>
        <v>809</v>
      </c>
      <c r="I91" s="176">
        <f t="shared" si="1"/>
        <v>1143</v>
      </c>
      <c r="J91" s="177">
        <f t="shared" si="1"/>
        <v>1786</v>
      </c>
    </row>
    <row r="92" spans="2:10" ht="10.5" customHeight="1" x14ac:dyDescent="0.2">
      <c r="B92" s="178">
        <v>2500</v>
      </c>
      <c r="C92" s="179">
        <f t="shared" si="0"/>
        <v>333</v>
      </c>
      <c r="D92" s="179">
        <f t="shared" si="0"/>
        <v>597</v>
      </c>
      <c r="E92" s="179">
        <f t="shared" si="0"/>
        <v>952</v>
      </c>
      <c r="F92" s="179">
        <f t="shared" si="0"/>
        <v>1984</v>
      </c>
      <c r="G92" s="179">
        <f t="shared" si="1"/>
        <v>526</v>
      </c>
      <c r="H92" s="179">
        <f t="shared" si="1"/>
        <v>881</v>
      </c>
      <c r="I92" s="179">
        <f t="shared" si="1"/>
        <v>1290</v>
      </c>
      <c r="J92" s="180">
        <f t="shared" si="1"/>
        <v>2174</v>
      </c>
    </row>
    <row r="93" spans="2:10" ht="10.5" customHeight="1" x14ac:dyDescent="0.2">
      <c r="B93" s="175">
        <v>3500</v>
      </c>
      <c r="C93" s="176">
        <f t="shared" ref="C93:F107" si="2">ROUNDUP((((POWER($F$70,2)*0.5*(1-0.5))/(POWER(C$72,2)))/(1+((POWER($F$70,2)*0.5*(1-0.5))/(POWER(C$72,2)*$B93)))),0)</f>
        <v>347</v>
      </c>
      <c r="D93" s="176">
        <f t="shared" si="2"/>
        <v>641</v>
      </c>
      <c r="E93" s="176">
        <f t="shared" si="2"/>
        <v>1068</v>
      </c>
      <c r="F93" s="176">
        <f t="shared" si="2"/>
        <v>2566</v>
      </c>
      <c r="G93" s="176">
        <f t="shared" ref="G93:J107" si="3">ROUNDUP((((POWER($J$70,2)*0.5*(1-0.5))/(POWER(G$72,2)))/(1+((POWER($J$70,2)*0.5*(1-0.5))/(POWER(G$72,2)*$B93)))),0)</f>
        <v>560</v>
      </c>
      <c r="H93" s="176">
        <f t="shared" si="3"/>
        <v>979</v>
      </c>
      <c r="I93" s="176">
        <f t="shared" si="3"/>
        <v>1513</v>
      </c>
      <c r="J93" s="177">
        <f t="shared" si="3"/>
        <v>2892</v>
      </c>
    </row>
    <row r="94" spans="2:10" ht="10.5" customHeight="1" x14ac:dyDescent="0.2">
      <c r="B94" s="175">
        <v>5000</v>
      </c>
      <c r="C94" s="176">
        <f t="shared" si="2"/>
        <v>357</v>
      </c>
      <c r="D94" s="176">
        <f t="shared" si="2"/>
        <v>678</v>
      </c>
      <c r="E94" s="176">
        <f t="shared" si="2"/>
        <v>1176</v>
      </c>
      <c r="F94" s="176">
        <f t="shared" si="2"/>
        <v>3289</v>
      </c>
      <c r="G94" s="176">
        <f t="shared" si="3"/>
        <v>588</v>
      </c>
      <c r="H94" s="176">
        <f t="shared" si="3"/>
        <v>1069</v>
      </c>
      <c r="I94" s="176">
        <f t="shared" si="3"/>
        <v>1738</v>
      </c>
      <c r="J94" s="177">
        <f t="shared" si="3"/>
        <v>3845</v>
      </c>
    </row>
    <row r="95" spans="2:10" ht="10.5" customHeight="1" x14ac:dyDescent="0.2">
      <c r="B95" s="175">
        <v>7500</v>
      </c>
      <c r="C95" s="176">
        <f t="shared" si="2"/>
        <v>366</v>
      </c>
      <c r="D95" s="176">
        <f t="shared" si="2"/>
        <v>710</v>
      </c>
      <c r="E95" s="176">
        <f t="shared" si="2"/>
        <v>1276</v>
      </c>
      <c r="F95" s="176">
        <f t="shared" si="2"/>
        <v>4212</v>
      </c>
      <c r="G95" s="176">
        <f t="shared" si="3"/>
        <v>612</v>
      </c>
      <c r="H95" s="176">
        <f t="shared" si="3"/>
        <v>1151</v>
      </c>
      <c r="I95" s="176">
        <f t="shared" si="3"/>
        <v>1965</v>
      </c>
      <c r="J95" s="177">
        <f t="shared" si="3"/>
        <v>5170</v>
      </c>
    </row>
    <row r="96" spans="2:10" ht="10.5" customHeight="1" x14ac:dyDescent="0.2">
      <c r="B96" s="175">
        <v>10000</v>
      </c>
      <c r="C96" s="176">
        <f t="shared" si="2"/>
        <v>370</v>
      </c>
      <c r="D96" s="176">
        <f t="shared" si="2"/>
        <v>728</v>
      </c>
      <c r="E96" s="176">
        <f t="shared" si="2"/>
        <v>1332</v>
      </c>
      <c r="F96" s="176">
        <f t="shared" si="2"/>
        <v>4900</v>
      </c>
      <c r="G96" s="176">
        <f t="shared" si="3"/>
        <v>625</v>
      </c>
      <c r="H96" s="176">
        <f t="shared" si="3"/>
        <v>1196</v>
      </c>
      <c r="I96" s="176">
        <f t="shared" si="3"/>
        <v>2103</v>
      </c>
      <c r="J96" s="177">
        <f t="shared" si="3"/>
        <v>6247</v>
      </c>
    </row>
    <row r="97" spans="1:12" ht="10.5" customHeight="1" x14ac:dyDescent="0.2">
      <c r="B97" s="178">
        <v>25000</v>
      </c>
      <c r="C97" s="179">
        <f t="shared" si="2"/>
        <v>379</v>
      </c>
      <c r="D97" s="179">
        <f t="shared" si="2"/>
        <v>761</v>
      </c>
      <c r="E97" s="179">
        <f t="shared" si="2"/>
        <v>1448</v>
      </c>
      <c r="F97" s="179">
        <f t="shared" si="2"/>
        <v>6939</v>
      </c>
      <c r="G97" s="179">
        <f t="shared" si="3"/>
        <v>649</v>
      </c>
      <c r="H97" s="179">
        <f t="shared" si="3"/>
        <v>1289</v>
      </c>
      <c r="I97" s="179">
        <f t="shared" si="3"/>
        <v>2407</v>
      </c>
      <c r="J97" s="180">
        <f t="shared" si="3"/>
        <v>9991</v>
      </c>
    </row>
    <row r="98" spans="1:12" ht="10.5" customHeight="1" x14ac:dyDescent="0.2">
      <c r="B98" s="175">
        <v>50000</v>
      </c>
      <c r="C98" s="176">
        <f t="shared" si="2"/>
        <v>382</v>
      </c>
      <c r="D98" s="176">
        <f t="shared" si="2"/>
        <v>772</v>
      </c>
      <c r="E98" s="176">
        <f t="shared" si="2"/>
        <v>1491</v>
      </c>
      <c r="F98" s="176">
        <f t="shared" si="2"/>
        <v>8057</v>
      </c>
      <c r="G98" s="176">
        <f t="shared" si="3"/>
        <v>657</v>
      </c>
      <c r="H98" s="176">
        <f t="shared" si="3"/>
        <v>1323</v>
      </c>
      <c r="I98" s="176">
        <f t="shared" si="3"/>
        <v>2528</v>
      </c>
      <c r="J98" s="177">
        <f t="shared" si="3"/>
        <v>12486</v>
      </c>
    </row>
    <row r="99" spans="1:12" ht="10.5" customHeight="1" x14ac:dyDescent="0.2">
      <c r="B99" s="175">
        <v>75000</v>
      </c>
      <c r="C99" s="176">
        <f t="shared" si="2"/>
        <v>383</v>
      </c>
      <c r="D99" s="176">
        <f t="shared" si="2"/>
        <v>776</v>
      </c>
      <c r="E99" s="176">
        <f t="shared" si="2"/>
        <v>1506</v>
      </c>
      <c r="F99" s="176">
        <f t="shared" si="2"/>
        <v>8514</v>
      </c>
      <c r="G99" s="176">
        <f t="shared" si="3"/>
        <v>660</v>
      </c>
      <c r="H99" s="176">
        <f t="shared" si="3"/>
        <v>1335</v>
      </c>
      <c r="I99" s="176">
        <f t="shared" si="3"/>
        <v>2572</v>
      </c>
      <c r="J99" s="177">
        <f t="shared" si="3"/>
        <v>13620</v>
      </c>
    </row>
    <row r="100" spans="1:12" ht="10.5" customHeight="1" x14ac:dyDescent="0.2">
      <c r="B100" s="175">
        <v>100000</v>
      </c>
      <c r="C100" s="176">
        <f t="shared" si="2"/>
        <v>383</v>
      </c>
      <c r="D100" s="176">
        <f t="shared" si="2"/>
        <v>778</v>
      </c>
      <c r="E100" s="176">
        <f t="shared" si="2"/>
        <v>1514</v>
      </c>
      <c r="F100" s="176">
        <f t="shared" si="2"/>
        <v>8763</v>
      </c>
      <c r="G100" s="176">
        <f t="shared" si="3"/>
        <v>662</v>
      </c>
      <c r="H100" s="176">
        <f t="shared" si="3"/>
        <v>1341</v>
      </c>
      <c r="I100" s="176">
        <f t="shared" si="3"/>
        <v>2594</v>
      </c>
      <c r="J100" s="177">
        <f t="shared" si="3"/>
        <v>14267</v>
      </c>
    </row>
    <row r="101" spans="1:12" ht="10.5" customHeight="1" x14ac:dyDescent="0.2">
      <c r="B101" s="175">
        <v>250000</v>
      </c>
      <c r="C101" s="176">
        <f t="shared" si="2"/>
        <v>384</v>
      </c>
      <c r="D101" s="176">
        <f t="shared" si="2"/>
        <v>782</v>
      </c>
      <c r="E101" s="176">
        <f t="shared" si="2"/>
        <v>1528</v>
      </c>
      <c r="F101" s="176">
        <f t="shared" si="2"/>
        <v>9249</v>
      </c>
      <c r="G101" s="176">
        <f t="shared" si="3"/>
        <v>664</v>
      </c>
      <c r="H101" s="176">
        <f t="shared" si="3"/>
        <v>1352</v>
      </c>
      <c r="I101" s="176">
        <f t="shared" si="3"/>
        <v>2635</v>
      </c>
      <c r="J101" s="177">
        <f t="shared" si="3"/>
        <v>15603</v>
      </c>
    </row>
    <row r="102" spans="1:12" ht="10.5" customHeight="1" x14ac:dyDescent="0.2">
      <c r="B102" s="178">
        <v>500000</v>
      </c>
      <c r="C102" s="179">
        <f t="shared" si="2"/>
        <v>384</v>
      </c>
      <c r="D102" s="179">
        <f t="shared" si="2"/>
        <v>783</v>
      </c>
      <c r="E102" s="179">
        <f t="shared" si="2"/>
        <v>1532</v>
      </c>
      <c r="F102" s="179">
        <f t="shared" si="2"/>
        <v>9424</v>
      </c>
      <c r="G102" s="179">
        <f t="shared" si="3"/>
        <v>665</v>
      </c>
      <c r="H102" s="179">
        <f t="shared" si="3"/>
        <v>1355</v>
      </c>
      <c r="I102" s="179">
        <f t="shared" si="3"/>
        <v>2649</v>
      </c>
      <c r="J102" s="180">
        <f t="shared" si="3"/>
        <v>16105</v>
      </c>
    </row>
    <row r="103" spans="1:12" ht="10.5" customHeight="1" x14ac:dyDescent="0.2">
      <c r="B103" s="175">
        <v>1000000</v>
      </c>
      <c r="C103" s="176">
        <f t="shared" si="2"/>
        <v>385</v>
      </c>
      <c r="D103" s="176">
        <f t="shared" si="2"/>
        <v>784</v>
      </c>
      <c r="E103" s="176">
        <f t="shared" si="2"/>
        <v>1535</v>
      </c>
      <c r="F103" s="176">
        <f t="shared" si="2"/>
        <v>9513</v>
      </c>
      <c r="G103" s="176">
        <f t="shared" si="3"/>
        <v>666</v>
      </c>
      <c r="H103" s="176">
        <f t="shared" si="3"/>
        <v>1357</v>
      </c>
      <c r="I103" s="176">
        <f t="shared" si="3"/>
        <v>2656</v>
      </c>
      <c r="J103" s="177">
        <f t="shared" si="3"/>
        <v>16369</v>
      </c>
    </row>
    <row r="104" spans="1:12" ht="10.5" customHeight="1" x14ac:dyDescent="0.2">
      <c r="B104" s="175">
        <v>2500000</v>
      </c>
      <c r="C104" s="176">
        <f t="shared" si="2"/>
        <v>385</v>
      </c>
      <c r="D104" s="176">
        <f t="shared" si="2"/>
        <v>784</v>
      </c>
      <c r="E104" s="176">
        <f t="shared" si="2"/>
        <v>1536</v>
      </c>
      <c r="F104" s="176">
        <f t="shared" si="2"/>
        <v>9568</v>
      </c>
      <c r="G104" s="176">
        <f t="shared" si="3"/>
        <v>666</v>
      </c>
      <c r="H104" s="176">
        <f t="shared" si="3"/>
        <v>1358</v>
      </c>
      <c r="I104" s="176">
        <f t="shared" si="3"/>
        <v>2660</v>
      </c>
      <c r="J104" s="177">
        <f t="shared" si="3"/>
        <v>16531</v>
      </c>
    </row>
    <row r="105" spans="1:12" ht="10.5" customHeight="1" x14ac:dyDescent="0.2">
      <c r="B105" s="175">
        <v>10000000</v>
      </c>
      <c r="C105" s="176">
        <f t="shared" si="2"/>
        <v>385</v>
      </c>
      <c r="D105" s="176">
        <f t="shared" si="2"/>
        <v>784</v>
      </c>
      <c r="E105" s="176">
        <f t="shared" si="2"/>
        <v>1537</v>
      </c>
      <c r="F105" s="176">
        <f t="shared" si="2"/>
        <v>9595</v>
      </c>
      <c r="G105" s="176">
        <f t="shared" si="3"/>
        <v>666</v>
      </c>
      <c r="H105" s="176">
        <f t="shared" si="3"/>
        <v>1359</v>
      </c>
      <c r="I105" s="176">
        <f t="shared" si="3"/>
        <v>2662</v>
      </c>
      <c r="J105" s="177">
        <f t="shared" si="3"/>
        <v>16614</v>
      </c>
    </row>
    <row r="106" spans="1:12" ht="10.5" customHeight="1" x14ac:dyDescent="0.2">
      <c r="B106" s="175">
        <v>100000000</v>
      </c>
      <c r="C106" s="176">
        <f t="shared" si="2"/>
        <v>385</v>
      </c>
      <c r="D106" s="176">
        <f t="shared" si="2"/>
        <v>784</v>
      </c>
      <c r="E106" s="176">
        <f t="shared" si="2"/>
        <v>1537</v>
      </c>
      <c r="F106" s="176">
        <f t="shared" si="2"/>
        <v>9604</v>
      </c>
      <c r="G106" s="176">
        <f t="shared" si="3"/>
        <v>666</v>
      </c>
      <c r="H106" s="176">
        <f t="shared" si="3"/>
        <v>1359</v>
      </c>
      <c r="I106" s="176">
        <f t="shared" si="3"/>
        <v>2663</v>
      </c>
      <c r="J106" s="177">
        <f t="shared" si="3"/>
        <v>16639</v>
      </c>
    </row>
    <row r="107" spans="1:12" ht="10.5" customHeight="1" thickBot="1" x14ac:dyDescent="0.25">
      <c r="B107" s="181">
        <v>300000000</v>
      </c>
      <c r="C107" s="182">
        <f t="shared" si="2"/>
        <v>385</v>
      </c>
      <c r="D107" s="182">
        <f t="shared" si="2"/>
        <v>784</v>
      </c>
      <c r="E107" s="182">
        <f t="shared" si="2"/>
        <v>1537</v>
      </c>
      <c r="F107" s="182">
        <f t="shared" si="2"/>
        <v>9604</v>
      </c>
      <c r="G107" s="182">
        <f t="shared" si="3"/>
        <v>666</v>
      </c>
      <c r="H107" s="182">
        <f t="shared" si="3"/>
        <v>1359</v>
      </c>
      <c r="I107" s="182">
        <f t="shared" si="3"/>
        <v>2663</v>
      </c>
      <c r="J107" s="183">
        <f t="shared" si="3"/>
        <v>16641</v>
      </c>
    </row>
    <row r="109" spans="1:12" ht="11.25" customHeight="1" x14ac:dyDescent="0.2">
      <c r="B109" s="184"/>
      <c r="C109" s="184"/>
      <c r="D109" s="184"/>
      <c r="E109" s="184"/>
      <c r="F109" s="184"/>
      <c r="G109" s="184"/>
      <c r="H109" s="184"/>
      <c r="I109" s="184"/>
      <c r="J109" s="184"/>
    </row>
    <row r="110" spans="1:12" ht="26.25" customHeight="1" x14ac:dyDescent="0.2">
      <c r="A110" s="152" t="s">
        <v>243</v>
      </c>
      <c r="B110" s="152"/>
      <c r="C110" s="152"/>
      <c r="D110" s="152"/>
      <c r="E110" s="152"/>
      <c r="F110" s="152"/>
      <c r="G110" s="152"/>
      <c r="H110" s="152"/>
      <c r="I110" s="152"/>
      <c r="J110" s="152"/>
    </row>
    <row r="111" spans="1:12" ht="11.25" customHeight="1" x14ac:dyDescent="0.2">
      <c r="A111" s="185" t="s">
        <v>236</v>
      </c>
      <c r="B111" s="154"/>
      <c r="C111" s="154"/>
      <c r="D111" s="154"/>
      <c r="E111" s="154"/>
      <c r="F111" s="154"/>
      <c r="G111" s="154"/>
      <c r="H111" s="154"/>
      <c r="I111" s="154"/>
      <c r="J111" s="154"/>
      <c r="K111" s="155"/>
      <c r="L111" s="156"/>
    </row>
  </sheetData>
  <sheetProtection formatCells="0" formatColumns="0" formatRows="0" insertColumns="0" insertRows="0" insertHyperlinks="0" deleteColumns="0" deleteRows="0" sort="0" autoFilter="0" pivotTables="0"/>
  <mergeCells count="21">
    <mergeCell ref="B109:J109"/>
    <mergeCell ref="A110:J110"/>
    <mergeCell ref="A111:J111"/>
    <mergeCell ref="A60:J60"/>
    <mergeCell ref="B66:J66"/>
    <mergeCell ref="B68:J68"/>
    <mergeCell ref="B70:B72"/>
    <mergeCell ref="C71:F71"/>
    <mergeCell ref="G71:J71"/>
    <mergeCell ref="C8:J8"/>
    <mergeCell ref="C9:J9"/>
    <mergeCell ref="D50:J50"/>
    <mergeCell ref="A51:C56"/>
    <mergeCell ref="D51:J56"/>
    <mergeCell ref="A59:J59"/>
    <mergeCell ref="B2:G2"/>
    <mergeCell ref="H2:J2"/>
    <mergeCell ref="C4:J4"/>
    <mergeCell ref="C5:J5"/>
    <mergeCell ref="C6:J6"/>
    <mergeCell ref="C7:J7"/>
  </mergeCells>
  <conditionalFormatting sqref="C72">
    <cfRule type="expression" dxfId="4" priority="4">
      <formula>C72=$C$14</formula>
    </cfRule>
  </conditionalFormatting>
  <conditionalFormatting sqref="D72:J72">
    <cfRule type="expression" dxfId="3" priority="3">
      <formula>D72=$C$14</formula>
    </cfRule>
  </conditionalFormatting>
  <conditionalFormatting sqref="F70">
    <cfRule type="expression" dxfId="2" priority="2">
      <formula>F70=$C$12</formula>
    </cfRule>
  </conditionalFormatting>
  <conditionalFormatting sqref="J70">
    <cfRule type="expression" dxfId="1" priority="1">
      <formula>J70=$C$12</formula>
    </cfRule>
  </conditionalFormatting>
  <conditionalFormatting sqref="C73:J107">
    <cfRule type="expression" dxfId="0" priority="5">
      <formula>C73=$H$12</formula>
    </cfRule>
  </conditionalFormatting>
  <dataValidations disablePrompts="1" count="2">
    <dataValidation type="decimal" allowBlank="1" showInputMessage="1" showErrorMessage="1" sqref="C13:C14">
      <formula1>0</formula1>
      <formula2>1</formula2>
    </dataValidation>
    <dataValidation type="list" allowBlank="1" showInputMessage="1" showErrorMessage="1" sqref="C12">
      <formula1>"1.28,1.44,1.65,1.96,2.58"</formula1>
    </dataValidation>
  </dataValidations>
  <hyperlinks>
    <hyperlink ref="A111" r:id="rId1"/>
    <hyperlink ref="A60" r:id="rId2"/>
  </hyperlinks>
  <pageMargins left="0.7" right="0.7" top="0.75" bottom="0.75" header="0.3" footer="0.3"/>
  <pageSetup orientation="portrait" verticalDpi="0"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C60"/>
  <sheetViews>
    <sheetView workbookViewId="0">
      <selection activeCell="D63" sqref="D63"/>
    </sheetView>
  </sheetViews>
  <sheetFormatPr baseColWidth="10" defaultRowHeight="15" x14ac:dyDescent="0.25"/>
  <cols>
    <col min="1" max="1" width="8.5703125" style="5" customWidth="1"/>
    <col min="2" max="2" width="26.5703125" customWidth="1"/>
    <col min="3" max="3" width="27.85546875" customWidth="1"/>
  </cols>
  <sheetData>
    <row r="1" spans="1:3" x14ac:dyDescent="0.25">
      <c r="A1" s="5" t="s">
        <v>24</v>
      </c>
      <c r="B1" t="s">
        <v>14</v>
      </c>
      <c r="C1" t="s">
        <v>15</v>
      </c>
    </row>
    <row r="2" spans="1:3" x14ac:dyDescent="0.25">
      <c r="A2" s="5">
        <v>-1</v>
      </c>
      <c r="B2" t="s">
        <v>34</v>
      </c>
      <c r="C2" t="s">
        <v>35</v>
      </c>
    </row>
    <row r="3" spans="1:3" x14ac:dyDescent="0.25">
      <c r="A3" s="5">
        <v>21</v>
      </c>
      <c r="B3" t="s">
        <v>28</v>
      </c>
      <c r="C3" t="s">
        <v>27</v>
      </c>
    </row>
    <row r="4" spans="1:3" x14ac:dyDescent="0.25">
      <c r="A4" s="5">
        <v>1</v>
      </c>
      <c r="B4" t="s">
        <v>10</v>
      </c>
      <c r="C4" t="s">
        <v>0</v>
      </c>
    </row>
    <row r="5" spans="1:3" x14ac:dyDescent="0.25">
      <c r="A5" s="5">
        <v>2</v>
      </c>
      <c r="B5" t="s">
        <v>181</v>
      </c>
      <c r="C5" t="s">
        <v>172</v>
      </c>
    </row>
    <row r="6" spans="1:3" x14ac:dyDescent="0.25">
      <c r="A6" s="5">
        <v>3</v>
      </c>
      <c r="B6" t="s">
        <v>2</v>
      </c>
      <c r="C6" t="s">
        <v>17</v>
      </c>
    </row>
    <row r="7" spans="1:3" x14ac:dyDescent="0.25">
      <c r="A7" s="5">
        <v>4</v>
      </c>
      <c r="B7" t="s">
        <v>32</v>
      </c>
      <c r="C7" t="s">
        <v>18</v>
      </c>
    </row>
    <row r="8" spans="1:3" x14ac:dyDescent="0.25">
      <c r="A8" s="5">
        <v>5</v>
      </c>
      <c r="B8" t="s">
        <v>4</v>
      </c>
      <c r="C8" t="s">
        <v>156</v>
      </c>
    </row>
    <row r="9" spans="1:3" x14ac:dyDescent="0.25">
      <c r="A9" s="5">
        <v>6</v>
      </c>
      <c r="B9" t="s">
        <v>178</v>
      </c>
      <c r="C9" t="s">
        <v>173</v>
      </c>
    </row>
    <row r="10" spans="1:3" x14ac:dyDescent="0.25">
      <c r="A10" s="5">
        <v>7</v>
      </c>
      <c r="B10" t="s">
        <v>177</v>
      </c>
      <c r="C10" t="s">
        <v>176</v>
      </c>
    </row>
    <row r="11" spans="1:3" x14ac:dyDescent="0.25">
      <c r="A11" s="5">
        <v>8</v>
      </c>
      <c r="B11" t="s">
        <v>9</v>
      </c>
      <c r="C11" t="s">
        <v>19</v>
      </c>
    </row>
    <row r="12" spans="1:3" x14ac:dyDescent="0.25">
      <c r="A12" s="5">
        <v>9</v>
      </c>
      <c r="B12" t="s">
        <v>3</v>
      </c>
      <c r="C12" t="s">
        <v>97</v>
      </c>
    </row>
    <row r="13" spans="1:3" x14ac:dyDescent="0.25">
      <c r="A13" s="5">
        <v>10</v>
      </c>
      <c r="B13" t="s">
        <v>7</v>
      </c>
      <c r="C13" t="s">
        <v>20</v>
      </c>
    </row>
    <row r="14" spans="1:3" x14ac:dyDescent="0.25">
      <c r="A14" s="5">
        <v>11</v>
      </c>
      <c r="B14" t="s">
        <v>8</v>
      </c>
      <c r="C14" t="s">
        <v>21</v>
      </c>
    </row>
    <row r="15" spans="1:3" x14ac:dyDescent="0.25">
      <c r="A15" s="5">
        <v>12</v>
      </c>
      <c r="B15" t="s">
        <v>179</v>
      </c>
      <c r="C15" t="s">
        <v>169</v>
      </c>
    </row>
    <row r="16" spans="1:3" x14ac:dyDescent="0.25">
      <c r="A16" s="5">
        <v>13</v>
      </c>
      <c r="B16" t="s">
        <v>180</v>
      </c>
      <c r="C16" t="s">
        <v>170</v>
      </c>
    </row>
    <row r="17" spans="1:3" x14ac:dyDescent="0.25">
      <c r="A17" s="5">
        <v>14</v>
      </c>
      <c r="B17" t="s">
        <v>81</v>
      </c>
      <c r="C17" t="s">
        <v>80</v>
      </c>
    </row>
    <row r="18" spans="1:3" x14ac:dyDescent="0.25">
      <c r="A18" s="5">
        <v>15</v>
      </c>
      <c r="B18" t="s">
        <v>6</v>
      </c>
      <c r="C18" t="s">
        <v>22</v>
      </c>
    </row>
    <row r="19" spans="1:3" x14ac:dyDescent="0.25">
      <c r="A19" s="5">
        <v>16</v>
      </c>
      <c r="B19" t="s">
        <v>183</v>
      </c>
      <c r="C19" t="s">
        <v>23</v>
      </c>
    </row>
    <row r="20" spans="1:3" x14ac:dyDescent="0.25">
      <c r="A20" s="5">
        <v>19</v>
      </c>
      <c r="B20" t="s">
        <v>29</v>
      </c>
      <c r="C20" t="s">
        <v>16</v>
      </c>
    </row>
    <row r="21" spans="1:3" ht="15.75" thickBot="1" x14ac:dyDescent="0.3">
      <c r="A21" s="69">
        <v>20</v>
      </c>
      <c r="B21" s="1" t="s">
        <v>31</v>
      </c>
      <c r="C21" s="1" t="s">
        <v>30</v>
      </c>
    </row>
    <row r="22" spans="1:3" x14ac:dyDescent="0.25">
      <c r="A22" s="5" t="s">
        <v>102</v>
      </c>
      <c r="B22" t="s">
        <v>11</v>
      </c>
      <c r="C22" t="s">
        <v>26</v>
      </c>
    </row>
    <row r="23" spans="1:3" ht="15.75" thickBot="1" x14ac:dyDescent="0.3">
      <c r="A23" s="69" t="s">
        <v>105</v>
      </c>
      <c r="B23" s="1" t="s">
        <v>5</v>
      </c>
      <c r="C23" s="1" t="s">
        <v>25</v>
      </c>
    </row>
    <row r="24" spans="1:3" x14ac:dyDescent="0.25">
      <c r="A24" s="91" t="s">
        <v>198</v>
      </c>
      <c r="B24" s="3" t="s">
        <v>199</v>
      </c>
      <c r="C24" s="3" t="s">
        <v>200</v>
      </c>
    </row>
    <row r="25" spans="1:3" x14ac:dyDescent="0.25">
      <c r="A25" s="5" t="s">
        <v>126</v>
      </c>
      <c r="B25" t="s">
        <v>127</v>
      </c>
      <c r="C25" t="s">
        <v>128</v>
      </c>
    </row>
    <row r="26" spans="1:3" x14ac:dyDescent="0.25">
      <c r="A26" s="5" t="s">
        <v>98</v>
      </c>
      <c r="B26" t="s">
        <v>95</v>
      </c>
      <c r="C26" t="s">
        <v>83</v>
      </c>
    </row>
    <row r="27" spans="1:3" x14ac:dyDescent="0.25">
      <c r="A27" s="5" t="s">
        <v>99</v>
      </c>
      <c r="B27" t="s">
        <v>90</v>
      </c>
      <c r="C27" t="s">
        <v>84</v>
      </c>
    </row>
    <row r="28" spans="1:3" x14ac:dyDescent="0.25">
      <c r="A28" s="5" t="s">
        <v>100</v>
      </c>
      <c r="B28" t="s">
        <v>91</v>
      </c>
      <c r="C28" t="s">
        <v>85</v>
      </c>
    </row>
    <row r="29" spans="1:3" x14ac:dyDescent="0.25">
      <c r="A29" s="5" t="s">
        <v>101</v>
      </c>
      <c r="B29" t="s">
        <v>92</v>
      </c>
      <c r="C29" t="s">
        <v>86</v>
      </c>
    </row>
    <row r="30" spans="1:3" x14ac:dyDescent="0.25">
      <c r="A30" s="5" t="s">
        <v>131</v>
      </c>
      <c r="B30" t="s">
        <v>93</v>
      </c>
      <c r="C30" t="s">
        <v>87</v>
      </c>
    </row>
    <row r="31" spans="1:3" x14ac:dyDescent="0.25">
      <c r="A31" s="5" t="s">
        <v>104</v>
      </c>
      <c r="B31" t="s">
        <v>96</v>
      </c>
      <c r="C31" t="s">
        <v>88</v>
      </c>
    </row>
    <row r="32" spans="1:3" ht="15.75" thickBot="1" x14ac:dyDescent="0.3">
      <c r="A32" s="69" t="s">
        <v>103</v>
      </c>
      <c r="B32" s="1" t="s">
        <v>94</v>
      </c>
      <c r="C32" s="1" t="s">
        <v>89</v>
      </c>
    </row>
    <row r="33" spans="1:3" x14ac:dyDescent="0.25">
      <c r="A33" s="5">
        <v>28</v>
      </c>
      <c r="B33" t="s">
        <v>182</v>
      </c>
      <c r="C33" t="s">
        <v>171</v>
      </c>
    </row>
    <row r="34" spans="1:3" x14ac:dyDescent="0.25">
      <c r="A34" s="12" t="s">
        <v>118</v>
      </c>
      <c r="B34" t="s">
        <v>116</v>
      </c>
      <c r="C34" t="s">
        <v>37</v>
      </c>
    </row>
    <row r="35" spans="1:3" x14ac:dyDescent="0.25">
      <c r="A35" s="12" t="s">
        <v>107</v>
      </c>
      <c r="B35" t="s">
        <v>117</v>
      </c>
      <c r="C35" t="s">
        <v>38</v>
      </c>
    </row>
    <row r="36" spans="1:3" x14ac:dyDescent="0.25">
      <c r="A36" s="12" t="s">
        <v>110</v>
      </c>
      <c r="B36" t="s">
        <v>119</v>
      </c>
      <c r="C36" t="s">
        <v>39</v>
      </c>
    </row>
    <row r="37" spans="1:3" x14ac:dyDescent="0.25">
      <c r="A37" s="12" t="s">
        <v>112</v>
      </c>
      <c r="B37" t="s">
        <v>120</v>
      </c>
      <c r="C37" t="s">
        <v>40</v>
      </c>
    </row>
    <row r="38" spans="1:3" x14ac:dyDescent="0.25">
      <c r="A38" s="12" t="s">
        <v>113</v>
      </c>
      <c r="B38" t="s">
        <v>121</v>
      </c>
      <c r="C38" t="s">
        <v>41</v>
      </c>
    </row>
    <row r="39" spans="1:3" x14ac:dyDescent="0.25">
      <c r="A39" s="12" t="s">
        <v>106</v>
      </c>
      <c r="B39" t="s">
        <v>122</v>
      </c>
      <c r="C39" t="s">
        <v>162</v>
      </c>
    </row>
    <row r="40" spans="1:3" x14ac:dyDescent="0.25">
      <c r="A40" s="12" t="s">
        <v>114</v>
      </c>
      <c r="B40" t="s">
        <v>123</v>
      </c>
      <c r="C40" t="s">
        <v>42</v>
      </c>
    </row>
    <row r="41" spans="1:3" ht="15.75" thickBot="1" x14ac:dyDescent="0.3">
      <c r="A41" s="70" t="s">
        <v>115</v>
      </c>
      <c r="B41" s="1" t="s">
        <v>124</v>
      </c>
      <c r="C41" s="1" t="s">
        <v>43</v>
      </c>
    </row>
    <row r="42" spans="1:3" x14ac:dyDescent="0.25">
      <c r="A42" s="13" t="s">
        <v>111</v>
      </c>
      <c r="B42" t="s">
        <v>12</v>
      </c>
      <c r="C42" t="s">
        <v>12</v>
      </c>
    </row>
    <row r="43" spans="1:3" x14ac:dyDescent="0.25">
      <c r="A43" s="13" t="s">
        <v>108</v>
      </c>
      <c r="B43" t="s">
        <v>125</v>
      </c>
      <c r="C43" t="s">
        <v>13</v>
      </c>
    </row>
    <row r="44" spans="1:3" x14ac:dyDescent="0.25">
      <c r="A44" s="13" t="s">
        <v>201</v>
      </c>
      <c r="B44" t="s">
        <v>202</v>
      </c>
      <c r="C44" t="s">
        <v>203</v>
      </c>
    </row>
    <row r="45" spans="1:3" x14ac:dyDescent="0.25">
      <c r="A45" s="5">
        <v>22</v>
      </c>
      <c r="B45" t="s">
        <v>167</v>
      </c>
      <c r="C45" t="s">
        <v>168</v>
      </c>
    </row>
    <row r="46" spans="1:3" ht="15.75" thickBot="1" x14ac:dyDescent="0.3">
      <c r="A46" s="69">
        <v>23</v>
      </c>
      <c r="B46" s="1" t="s">
        <v>174</v>
      </c>
      <c r="C46" s="1" t="s">
        <v>175</v>
      </c>
    </row>
    <row r="47" spans="1:3" x14ac:dyDescent="0.25">
      <c r="A47" s="5" t="s">
        <v>188</v>
      </c>
      <c r="B47" t="s">
        <v>185</v>
      </c>
      <c r="C47" t="s">
        <v>142</v>
      </c>
    </row>
    <row r="48" spans="1:3" x14ac:dyDescent="0.25">
      <c r="A48" s="5" t="s">
        <v>189</v>
      </c>
      <c r="B48" t="s">
        <v>186</v>
      </c>
      <c r="C48" t="s">
        <v>79</v>
      </c>
    </row>
    <row r="49" spans="1:3" x14ac:dyDescent="0.25">
      <c r="A49" s="5" t="s">
        <v>109</v>
      </c>
      <c r="B49" t="s">
        <v>141</v>
      </c>
      <c r="C49" t="s">
        <v>141</v>
      </c>
    </row>
    <row r="50" spans="1:3" x14ac:dyDescent="0.25">
      <c r="A50" s="5" t="s">
        <v>190</v>
      </c>
      <c r="B50" t="s">
        <v>187</v>
      </c>
      <c r="C50" t="s">
        <v>163</v>
      </c>
    </row>
    <row r="51" spans="1:3" ht="15.75" thickBot="1" x14ac:dyDescent="0.3">
      <c r="A51" s="69" t="s">
        <v>191</v>
      </c>
      <c r="B51" s="1" t="s">
        <v>184</v>
      </c>
      <c r="C51" s="1" t="s">
        <v>184</v>
      </c>
    </row>
    <row r="52" spans="1:3" x14ac:dyDescent="0.25">
      <c r="A52" s="5" t="s">
        <v>192</v>
      </c>
      <c r="B52" t="s">
        <v>36</v>
      </c>
      <c r="C52" t="s">
        <v>155</v>
      </c>
    </row>
    <row r="53" spans="1:3" ht="15.75" thickBot="1" x14ac:dyDescent="0.3">
      <c r="A53" s="69" t="s">
        <v>193</v>
      </c>
      <c r="B53" s="1" t="s">
        <v>194</v>
      </c>
      <c r="C53" s="1" t="s">
        <v>164</v>
      </c>
    </row>
    <row r="54" spans="1:3" x14ac:dyDescent="0.25">
      <c r="A54" s="5" t="s">
        <v>204</v>
      </c>
      <c r="B54" t="s">
        <v>207</v>
      </c>
      <c r="C54" t="s">
        <v>209</v>
      </c>
    </row>
    <row r="55" spans="1:3" x14ac:dyDescent="0.25">
      <c r="A55" s="5" t="s">
        <v>205</v>
      </c>
      <c r="B55" t="s">
        <v>208</v>
      </c>
      <c r="C55" t="s">
        <v>210</v>
      </c>
    </row>
    <row r="56" spans="1:3" x14ac:dyDescent="0.25">
      <c r="A56" s="5" t="s">
        <v>206</v>
      </c>
      <c r="B56" t="s">
        <v>212</v>
      </c>
      <c r="C56" t="s">
        <v>211</v>
      </c>
    </row>
    <row r="57" spans="1:3" x14ac:dyDescent="0.25">
      <c r="A57" s="5" t="s">
        <v>213</v>
      </c>
      <c r="B57" t="s">
        <v>215</v>
      </c>
      <c r="C57" t="s">
        <v>217</v>
      </c>
    </row>
    <row r="58" spans="1:3" x14ac:dyDescent="0.25">
      <c r="A58" s="91" t="s">
        <v>214</v>
      </c>
      <c r="B58" s="3" t="s">
        <v>216</v>
      </c>
      <c r="C58" s="3" t="s">
        <v>218</v>
      </c>
    </row>
    <row r="59" spans="1:3" ht="15.75" thickBot="1" x14ac:dyDescent="0.3">
      <c r="A59" s="69" t="s">
        <v>221</v>
      </c>
      <c r="B59" s="1" t="s">
        <v>127</v>
      </c>
      <c r="C59" s="1" t="s">
        <v>128</v>
      </c>
    </row>
    <row r="60" spans="1:3" x14ac:dyDescent="0.25">
      <c r="A60" s="5">
        <v>29</v>
      </c>
      <c r="B60" t="s">
        <v>219</v>
      </c>
      <c r="C60" t="s">
        <v>220</v>
      </c>
    </row>
  </sheetData>
  <conditionalFormatting sqref="A2:A60">
    <cfRule type="duplicateValues" dxfId="6" priority="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76"/>
  <sheetViews>
    <sheetView showGridLines="0" view="pageLayout" zoomScaleNormal="100" workbookViewId="0">
      <selection activeCell="B41" sqref="B41"/>
    </sheetView>
  </sheetViews>
  <sheetFormatPr baseColWidth="10" defaultRowHeight="15" x14ac:dyDescent="0.25"/>
  <cols>
    <col min="1" max="1" width="34.85546875" style="4" customWidth="1"/>
    <col min="2" max="2" width="47.42578125" style="4" customWidth="1"/>
    <col min="3" max="16384" width="11.42578125" style="4"/>
  </cols>
  <sheetData>
    <row r="1" spans="1:2" ht="27" thickBot="1" x14ac:dyDescent="0.45">
      <c r="A1" s="8" t="s">
        <v>143</v>
      </c>
      <c r="B1" s="8"/>
    </row>
    <row r="4" spans="1:2" ht="19.5" thickBot="1" x14ac:dyDescent="0.35">
      <c r="A4" s="2" t="s">
        <v>54</v>
      </c>
      <c r="B4" s="15"/>
    </row>
    <row r="5" spans="1:2" ht="30" customHeight="1" thickBot="1" x14ac:dyDescent="0.3">
      <c r="A5" s="7" t="s">
        <v>44</v>
      </c>
      <c r="B5" s="7" t="s">
        <v>45</v>
      </c>
    </row>
    <row r="6" spans="1:2" ht="52.5" customHeight="1" x14ac:dyDescent="0.25">
      <c r="A6" s="19" t="s">
        <v>47</v>
      </c>
      <c r="B6" s="19" t="s">
        <v>50</v>
      </c>
    </row>
    <row r="7" spans="1:2" ht="52.5" customHeight="1" x14ac:dyDescent="0.25">
      <c r="A7" s="20" t="s">
        <v>48</v>
      </c>
      <c r="B7" s="20" t="s">
        <v>51</v>
      </c>
    </row>
    <row r="8" spans="1:2" ht="52.5" customHeight="1" x14ac:dyDescent="0.25">
      <c r="A8" s="20" t="s">
        <v>49</v>
      </c>
      <c r="B8" s="20" t="s">
        <v>52</v>
      </c>
    </row>
    <row r="9" spans="1:2" ht="52.5" customHeight="1" x14ac:dyDescent="0.25">
      <c r="A9" s="20" t="s">
        <v>46</v>
      </c>
      <c r="B9" s="20" t="s">
        <v>53</v>
      </c>
    </row>
    <row r="10" spans="1:2" x14ac:dyDescent="0.25">
      <c r="A10" s="21"/>
      <c r="B10" s="21"/>
    </row>
    <row r="12" spans="1:2" x14ac:dyDescent="0.25">
      <c r="A12" s="21"/>
      <c r="B12" s="21"/>
    </row>
    <row r="13" spans="1:2" x14ac:dyDescent="0.25">
      <c r="A13" s="21"/>
      <c r="B13" s="21"/>
    </row>
    <row r="14" spans="1:2" x14ac:dyDescent="0.25">
      <c r="A14" s="21"/>
      <c r="B14" s="21"/>
    </row>
    <row r="16" spans="1:2" x14ac:dyDescent="0.25">
      <c r="B16" s="21"/>
    </row>
    <row r="17" spans="2:2" x14ac:dyDescent="0.25">
      <c r="B17" s="21"/>
    </row>
    <row r="35" spans="1:2" ht="21" x14ac:dyDescent="0.35">
      <c r="A35" s="9" t="s">
        <v>66</v>
      </c>
    </row>
    <row r="36" spans="1:2" ht="21" x14ac:dyDescent="0.35">
      <c r="A36" s="9"/>
    </row>
    <row r="37" spans="1:2" ht="18.75" x14ac:dyDescent="0.3">
      <c r="A37" s="11" t="s">
        <v>77</v>
      </c>
      <c r="B37" s="22"/>
    </row>
    <row r="38" spans="1:2" x14ac:dyDescent="0.25">
      <c r="A38" s="6" t="s">
        <v>55</v>
      </c>
    </row>
    <row r="39" spans="1:2" x14ac:dyDescent="0.25">
      <c r="A39" s="21" t="s">
        <v>56</v>
      </c>
    </row>
    <row r="40" spans="1:2" x14ac:dyDescent="0.25">
      <c r="A40" s="21" t="s">
        <v>57</v>
      </c>
    </row>
    <row r="42" spans="1:2" x14ac:dyDescent="0.25">
      <c r="A42" s="6" t="s">
        <v>58</v>
      </c>
    </row>
    <row r="43" spans="1:2" x14ac:dyDescent="0.25">
      <c r="A43" s="21" t="s">
        <v>59</v>
      </c>
    </row>
    <row r="44" spans="1:2" x14ac:dyDescent="0.25">
      <c r="A44" s="21" t="s">
        <v>60</v>
      </c>
    </row>
    <row r="45" spans="1:2" x14ac:dyDescent="0.25">
      <c r="A45" s="21" t="s">
        <v>61</v>
      </c>
    </row>
    <row r="47" spans="1:2" x14ac:dyDescent="0.25">
      <c r="A47" s="6" t="s">
        <v>62</v>
      </c>
    </row>
    <row r="48" spans="1:2" x14ac:dyDescent="0.25">
      <c r="A48" s="21" t="s">
        <v>63</v>
      </c>
    </row>
    <row r="49" spans="1:2" x14ac:dyDescent="0.25">
      <c r="A49" s="21" t="s">
        <v>64</v>
      </c>
    </row>
    <row r="50" spans="1:2" x14ac:dyDescent="0.25">
      <c r="A50" s="21" t="s">
        <v>65</v>
      </c>
    </row>
    <row r="52" spans="1:2" x14ac:dyDescent="0.25">
      <c r="A52" s="6" t="s">
        <v>69</v>
      </c>
    </row>
    <row r="53" spans="1:2" x14ac:dyDescent="0.25">
      <c r="A53" s="21" t="s">
        <v>68</v>
      </c>
    </row>
    <row r="54" spans="1:2" x14ac:dyDescent="0.25">
      <c r="A54" s="21" t="s">
        <v>67</v>
      </c>
    </row>
    <row r="56" spans="1:2" ht="18.75" x14ac:dyDescent="0.3">
      <c r="A56" s="11" t="s">
        <v>78</v>
      </c>
      <c r="B56" s="22"/>
    </row>
    <row r="57" spans="1:2" ht="77.25" customHeight="1" x14ac:dyDescent="0.25">
      <c r="A57" s="28" t="s">
        <v>70</v>
      </c>
      <c r="B57" s="26" t="s">
        <v>75</v>
      </c>
    </row>
    <row r="58" spans="1:2" ht="27.75" customHeight="1" x14ac:dyDescent="0.25">
      <c r="A58" s="29" t="s">
        <v>71</v>
      </c>
      <c r="B58" s="27" t="s">
        <v>72</v>
      </c>
    </row>
    <row r="59" spans="1:2" ht="26.25" customHeight="1" x14ac:dyDescent="0.25">
      <c r="A59" s="29" t="s">
        <v>73</v>
      </c>
      <c r="B59" s="27" t="s">
        <v>74</v>
      </c>
    </row>
    <row r="60" spans="1:2" ht="118.5" customHeight="1" x14ac:dyDescent="0.25">
      <c r="A60" s="29" t="s">
        <v>76</v>
      </c>
      <c r="B60" s="26" t="s">
        <v>132</v>
      </c>
    </row>
    <row r="68" spans="1:2" ht="18.75" x14ac:dyDescent="0.3">
      <c r="A68" s="11" t="s">
        <v>82</v>
      </c>
      <c r="B68" s="22"/>
    </row>
    <row r="69" spans="1:2" ht="43.5" customHeight="1" x14ac:dyDescent="0.25">
      <c r="A69" s="23" t="s">
        <v>133</v>
      </c>
      <c r="B69" s="23"/>
    </row>
    <row r="70" spans="1:2" ht="96" customHeight="1" x14ac:dyDescent="0.25">
      <c r="A70" s="24" t="s">
        <v>134</v>
      </c>
      <c r="B70" s="24"/>
    </row>
    <row r="71" spans="1:2" ht="71.25" customHeight="1" x14ac:dyDescent="0.25">
      <c r="A71" s="24" t="s">
        <v>135</v>
      </c>
      <c r="B71" s="24"/>
    </row>
    <row r="72" spans="1:2" ht="70.5" customHeight="1" x14ac:dyDescent="0.25">
      <c r="A72" s="24" t="s">
        <v>136</v>
      </c>
      <c r="B72" s="24"/>
    </row>
    <row r="73" spans="1:2" ht="42" customHeight="1" x14ac:dyDescent="0.25">
      <c r="A73" s="25" t="s">
        <v>137</v>
      </c>
      <c r="B73" s="25"/>
    </row>
    <row r="74" spans="1:2" ht="100.5" customHeight="1" x14ac:dyDescent="0.25">
      <c r="A74" s="24" t="s">
        <v>138</v>
      </c>
      <c r="B74" s="24"/>
    </row>
    <row r="75" spans="1:2" ht="44.25" customHeight="1" x14ac:dyDescent="0.25">
      <c r="A75" s="24" t="s">
        <v>139</v>
      </c>
      <c r="B75" s="24"/>
    </row>
    <row r="76" spans="1:2" ht="81" customHeight="1" x14ac:dyDescent="0.25">
      <c r="A76" s="24" t="s">
        <v>140</v>
      </c>
      <c r="B76" s="24"/>
    </row>
  </sheetData>
  <mergeCells count="8">
    <mergeCell ref="A70:B70"/>
    <mergeCell ref="A69:B69"/>
    <mergeCell ref="A76:B76"/>
    <mergeCell ref="A75:B75"/>
    <mergeCell ref="A74:B74"/>
    <mergeCell ref="A73:B73"/>
    <mergeCell ref="A72:B72"/>
    <mergeCell ref="A71:B71"/>
  </mergeCell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C5"/>
  <sheetViews>
    <sheetView showGridLines="0" showRuler="0" view="pageLayout" zoomScale="85" zoomScaleNormal="85" zoomScalePageLayoutView="85" workbookViewId="0">
      <selection activeCell="B2" sqref="B2:C2"/>
    </sheetView>
  </sheetViews>
  <sheetFormatPr baseColWidth="10" defaultRowHeight="15" x14ac:dyDescent="0.25"/>
  <cols>
    <col min="1" max="1" width="6" style="200" customWidth="1"/>
    <col min="2" max="2" width="75" style="200" customWidth="1"/>
    <col min="3" max="16384" width="11.42578125" style="200"/>
  </cols>
  <sheetData>
    <row r="1" spans="2:3" ht="34.5" customHeight="1" thickBot="1" x14ac:dyDescent="0.3">
      <c r="B1" s="199"/>
      <c r="C1" s="199"/>
    </row>
    <row r="2" spans="2:3" ht="384" customHeight="1" thickTop="1" x14ac:dyDescent="0.25">
      <c r="B2" s="201" t="s">
        <v>244</v>
      </c>
      <c r="C2" s="201"/>
    </row>
    <row r="3" spans="2:3" ht="15.75" thickBot="1" x14ac:dyDescent="0.3">
      <c r="B3" s="202" t="s">
        <v>245</v>
      </c>
      <c r="C3" s="202"/>
    </row>
    <row r="4" spans="2:3" ht="33" customHeight="1" thickTop="1" x14ac:dyDescent="0.25">
      <c r="B4" s="203" t="s">
        <v>243</v>
      </c>
    </row>
    <row r="5" spans="2:3" x14ac:dyDescent="0.25">
      <c r="B5" s="204" t="s">
        <v>236</v>
      </c>
    </row>
  </sheetData>
  <mergeCells count="1">
    <mergeCell ref="B2:C2"/>
  </mergeCells>
  <hyperlinks>
    <hyperlink ref="B3" r:id="rId1"/>
    <hyperlink ref="B5" r:id="rId2"/>
  </hyperlinks>
  <pageMargins left="0.25" right="0.25" top="0.75" bottom="0.75" header="0.3" footer="0.3"/>
  <pageSetup orientation="portrait" verticalDpi="0"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HM01-Form</vt:lpstr>
      <vt:lpstr>HM01-FormSource</vt:lpstr>
      <vt:lpstr>HM02-Calc</vt:lpstr>
      <vt:lpstr>Translations</vt:lpstr>
      <vt:lpstr>Documentation</vt:lpstr>
      <vt:lpstr>License</vt:lpstr>
      <vt:lpstr>Phase</vt:lpstr>
      <vt:lpstr>QL</vt:lpstr>
      <vt:lpstr>QQ</vt:lpstr>
      <vt:lpstr>QT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Rene Casaña</dc:creator>
  <cp:lastModifiedBy>Rene Casaña</cp:lastModifiedBy>
  <dcterms:created xsi:type="dcterms:W3CDTF">2019-05-24T17:09:41Z</dcterms:created>
  <dcterms:modified xsi:type="dcterms:W3CDTF">2019-05-30T18:18:18Z</dcterms:modified>
</cp:coreProperties>
</file>