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
    </mc:Choice>
  </mc:AlternateContent>
  <bookViews>
    <workbookView xWindow="0" yWindow="0" windowWidth="24000" windowHeight="9645" activeTab="1"/>
  </bookViews>
  <sheets>
    <sheet name="SampleCalc Eng" sheetId="1" r:id="rId1"/>
    <sheet name="SampleCalc Spa" sheetId="3" r:id="rId2"/>
    <sheet name="License" sheetId="2" r:id="rId3"/>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07" i="3" l="1"/>
  <c r="I107" i="3"/>
  <c r="H107" i="3"/>
  <c r="G107" i="3"/>
  <c r="F107" i="3"/>
  <c r="E107" i="3"/>
  <c r="D107" i="3"/>
  <c r="C107" i="3"/>
  <c r="J106" i="3"/>
  <c r="I106" i="3"/>
  <c r="H106" i="3"/>
  <c r="G106" i="3"/>
  <c r="F106" i="3"/>
  <c r="E106" i="3"/>
  <c r="D106" i="3"/>
  <c r="C106" i="3"/>
  <c r="J105" i="3"/>
  <c r="I105" i="3"/>
  <c r="H105" i="3"/>
  <c r="G105" i="3"/>
  <c r="F105" i="3"/>
  <c r="E105" i="3"/>
  <c r="D105" i="3"/>
  <c r="C105" i="3"/>
  <c r="J104" i="3"/>
  <c r="I104" i="3"/>
  <c r="H104" i="3"/>
  <c r="G104" i="3"/>
  <c r="F104" i="3"/>
  <c r="E104" i="3"/>
  <c r="D104" i="3"/>
  <c r="C104" i="3"/>
  <c r="J103" i="3"/>
  <c r="I103" i="3"/>
  <c r="H103" i="3"/>
  <c r="G103" i="3"/>
  <c r="F103" i="3"/>
  <c r="E103" i="3"/>
  <c r="D103" i="3"/>
  <c r="C103" i="3"/>
  <c r="J102" i="3"/>
  <c r="I102" i="3"/>
  <c r="H102" i="3"/>
  <c r="G102" i="3"/>
  <c r="F102" i="3"/>
  <c r="E102" i="3"/>
  <c r="D102" i="3"/>
  <c r="C102" i="3"/>
  <c r="J101" i="3"/>
  <c r="I101" i="3"/>
  <c r="H101" i="3"/>
  <c r="G101" i="3"/>
  <c r="F101" i="3"/>
  <c r="E101" i="3"/>
  <c r="D101" i="3"/>
  <c r="C101" i="3"/>
  <c r="J100" i="3"/>
  <c r="I100" i="3"/>
  <c r="H100" i="3"/>
  <c r="G100" i="3"/>
  <c r="F100" i="3"/>
  <c r="E100" i="3"/>
  <c r="D100" i="3"/>
  <c r="C100" i="3"/>
  <c r="J99" i="3"/>
  <c r="I99" i="3"/>
  <c r="H99" i="3"/>
  <c r="G99" i="3"/>
  <c r="F99" i="3"/>
  <c r="E99" i="3"/>
  <c r="D99" i="3"/>
  <c r="C99" i="3"/>
  <c r="J98" i="3"/>
  <c r="I98" i="3"/>
  <c r="H98" i="3"/>
  <c r="G98" i="3"/>
  <c r="F98" i="3"/>
  <c r="E98" i="3"/>
  <c r="D98" i="3"/>
  <c r="C98" i="3"/>
  <c r="J97" i="3"/>
  <c r="I97" i="3"/>
  <c r="H97" i="3"/>
  <c r="G97" i="3"/>
  <c r="F97" i="3"/>
  <c r="E97" i="3"/>
  <c r="D97" i="3"/>
  <c r="C97" i="3"/>
  <c r="J96" i="3"/>
  <c r="I96" i="3"/>
  <c r="H96" i="3"/>
  <c r="G96" i="3"/>
  <c r="F96" i="3"/>
  <c r="E96" i="3"/>
  <c r="D96" i="3"/>
  <c r="C96" i="3"/>
  <c r="J95" i="3"/>
  <c r="I95" i="3"/>
  <c r="H95" i="3"/>
  <c r="G95" i="3"/>
  <c r="F95" i="3"/>
  <c r="E95" i="3"/>
  <c r="D95" i="3"/>
  <c r="C95" i="3"/>
  <c r="J94" i="3"/>
  <c r="I94" i="3"/>
  <c r="H94" i="3"/>
  <c r="G94" i="3"/>
  <c r="F94" i="3"/>
  <c r="E94" i="3"/>
  <c r="D94" i="3"/>
  <c r="C94" i="3"/>
  <c r="J93" i="3"/>
  <c r="I93" i="3"/>
  <c r="H93" i="3"/>
  <c r="G93" i="3"/>
  <c r="F93" i="3"/>
  <c r="E93" i="3"/>
  <c r="D93" i="3"/>
  <c r="C93" i="3"/>
  <c r="J92" i="3"/>
  <c r="I92" i="3"/>
  <c r="H92" i="3"/>
  <c r="G92" i="3"/>
  <c r="F92" i="3"/>
  <c r="E92" i="3"/>
  <c r="D92" i="3"/>
  <c r="C92" i="3"/>
  <c r="J91" i="3"/>
  <c r="I91" i="3"/>
  <c r="H91" i="3"/>
  <c r="G91" i="3"/>
  <c r="F91" i="3"/>
  <c r="E91" i="3"/>
  <c r="D91" i="3"/>
  <c r="C91" i="3"/>
  <c r="J90" i="3"/>
  <c r="I90" i="3"/>
  <c r="H90" i="3"/>
  <c r="G90" i="3"/>
  <c r="F90" i="3"/>
  <c r="E90" i="3"/>
  <c r="D90" i="3"/>
  <c r="C90" i="3"/>
  <c r="J89" i="3"/>
  <c r="I89" i="3"/>
  <c r="H89" i="3"/>
  <c r="G89" i="3"/>
  <c r="F89" i="3"/>
  <c r="E89" i="3"/>
  <c r="D89" i="3"/>
  <c r="C89" i="3"/>
  <c r="J88" i="3"/>
  <c r="I88" i="3"/>
  <c r="H88" i="3"/>
  <c r="G88" i="3"/>
  <c r="F88" i="3"/>
  <c r="E88" i="3"/>
  <c r="D88" i="3"/>
  <c r="C88" i="3"/>
  <c r="J87" i="3"/>
  <c r="I87" i="3"/>
  <c r="H87" i="3"/>
  <c r="G87" i="3"/>
  <c r="F87" i="3"/>
  <c r="E87" i="3"/>
  <c r="D87" i="3"/>
  <c r="C87" i="3"/>
  <c r="J86" i="3"/>
  <c r="I86" i="3"/>
  <c r="H86" i="3"/>
  <c r="G86" i="3"/>
  <c r="F86" i="3"/>
  <c r="E86" i="3"/>
  <c r="D86" i="3"/>
  <c r="C86" i="3"/>
  <c r="J85" i="3"/>
  <c r="I85" i="3"/>
  <c r="H85" i="3"/>
  <c r="G85" i="3"/>
  <c r="F85" i="3"/>
  <c r="E85" i="3"/>
  <c r="D85" i="3"/>
  <c r="C85" i="3"/>
  <c r="J84" i="3"/>
  <c r="I84" i="3"/>
  <c r="H84" i="3"/>
  <c r="G84" i="3"/>
  <c r="F84" i="3"/>
  <c r="E84" i="3"/>
  <c r="D84" i="3"/>
  <c r="C84" i="3"/>
  <c r="J83" i="3"/>
  <c r="I83" i="3"/>
  <c r="H83" i="3"/>
  <c r="G83" i="3"/>
  <c r="F83" i="3"/>
  <c r="E83" i="3"/>
  <c r="D83" i="3"/>
  <c r="C83" i="3"/>
  <c r="J82" i="3"/>
  <c r="I82" i="3"/>
  <c r="H82" i="3"/>
  <c r="G82" i="3"/>
  <c r="F82" i="3"/>
  <c r="E82" i="3"/>
  <c r="D82" i="3"/>
  <c r="C82" i="3"/>
  <c r="J81" i="3"/>
  <c r="I81" i="3"/>
  <c r="H81" i="3"/>
  <c r="G81" i="3"/>
  <c r="F81" i="3"/>
  <c r="E81" i="3"/>
  <c r="D81" i="3"/>
  <c r="C81" i="3"/>
  <c r="J80" i="3"/>
  <c r="I80" i="3"/>
  <c r="H80" i="3"/>
  <c r="G80" i="3"/>
  <c r="F80" i="3"/>
  <c r="E80" i="3"/>
  <c r="D80" i="3"/>
  <c r="C80" i="3"/>
  <c r="J79" i="3"/>
  <c r="I79" i="3"/>
  <c r="H79" i="3"/>
  <c r="G79" i="3"/>
  <c r="F79" i="3"/>
  <c r="E79" i="3"/>
  <c r="D79" i="3"/>
  <c r="C79" i="3"/>
  <c r="J78" i="3"/>
  <c r="I78" i="3"/>
  <c r="H78" i="3"/>
  <c r="G78" i="3"/>
  <c r="F78" i="3"/>
  <c r="E78" i="3"/>
  <c r="D78" i="3"/>
  <c r="C78" i="3"/>
  <c r="J77" i="3"/>
  <c r="I77" i="3"/>
  <c r="H77" i="3"/>
  <c r="G77" i="3"/>
  <c r="F77" i="3"/>
  <c r="E77" i="3"/>
  <c r="D77" i="3"/>
  <c r="C77" i="3"/>
  <c r="J76" i="3"/>
  <c r="I76" i="3"/>
  <c r="H76" i="3"/>
  <c r="G76" i="3"/>
  <c r="F76" i="3"/>
  <c r="E76" i="3"/>
  <c r="D76" i="3"/>
  <c r="C76" i="3"/>
  <c r="J75" i="3"/>
  <c r="I75" i="3"/>
  <c r="H75" i="3"/>
  <c r="G75" i="3"/>
  <c r="F75" i="3"/>
  <c r="E75" i="3"/>
  <c r="D75" i="3"/>
  <c r="C75" i="3"/>
  <c r="J74" i="3"/>
  <c r="I74" i="3"/>
  <c r="H74" i="3"/>
  <c r="G74" i="3"/>
  <c r="F74" i="3"/>
  <c r="E74" i="3"/>
  <c r="D74" i="3"/>
  <c r="C74" i="3"/>
  <c r="J73" i="3"/>
  <c r="I73" i="3"/>
  <c r="H73" i="3"/>
  <c r="G73" i="3"/>
  <c r="F73" i="3"/>
  <c r="E73" i="3"/>
  <c r="D73" i="3"/>
  <c r="C73" i="3"/>
  <c r="H12" i="3"/>
  <c r="C7" i="3"/>
  <c r="H12" i="1" l="1"/>
  <c r="C7" i="1"/>
  <c r="D73" i="1"/>
  <c r="E73" i="1"/>
  <c r="F73" i="1"/>
  <c r="D74" i="1"/>
  <c r="E74" i="1"/>
  <c r="F74" i="1"/>
  <c r="D75" i="1"/>
  <c r="E75" i="1"/>
  <c r="F75" i="1"/>
  <c r="D76" i="1"/>
  <c r="E76" i="1"/>
  <c r="F76" i="1"/>
  <c r="D77" i="1"/>
  <c r="E77" i="1"/>
  <c r="F77" i="1"/>
  <c r="D78" i="1"/>
  <c r="E78" i="1"/>
  <c r="F78" i="1"/>
  <c r="D79" i="1"/>
  <c r="E79" i="1"/>
  <c r="F79" i="1"/>
  <c r="D80" i="1"/>
  <c r="E80" i="1"/>
  <c r="F80" i="1"/>
  <c r="D81" i="1"/>
  <c r="E81" i="1"/>
  <c r="F81" i="1"/>
  <c r="D82" i="1"/>
  <c r="E82" i="1"/>
  <c r="F82" i="1"/>
  <c r="D83" i="1"/>
  <c r="E83" i="1"/>
  <c r="F83" i="1"/>
  <c r="D84" i="1"/>
  <c r="E84" i="1"/>
  <c r="F84" i="1"/>
  <c r="D85" i="1"/>
  <c r="E85" i="1"/>
  <c r="F85" i="1"/>
  <c r="D86" i="1"/>
  <c r="E86" i="1"/>
  <c r="F86" i="1"/>
  <c r="D87" i="1"/>
  <c r="E87" i="1"/>
  <c r="F87" i="1"/>
  <c r="D88" i="1"/>
  <c r="E88" i="1"/>
  <c r="F88" i="1"/>
  <c r="D89" i="1"/>
  <c r="E89" i="1"/>
  <c r="F89" i="1"/>
  <c r="D90" i="1"/>
  <c r="E90" i="1"/>
  <c r="F90" i="1"/>
  <c r="D91" i="1"/>
  <c r="E91" i="1"/>
  <c r="F91" i="1"/>
  <c r="D92" i="1"/>
  <c r="E92" i="1"/>
  <c r="F92" i="1"/>
  <c r="D93" i="1"/>
  <c r="E93" i="1"/>
  <c r="F93" i="1"/>
  <c r="D94" i="1"/>
  <c r="E94" i="1"/>
  <c r="F94" i="1"/>
  <c r="D95" i="1"/>
  <c r="E95" i="1"/>
  <c r="F95" i="1"/>
  <c r="D96" i="1"/>
  <c r="E96" i="1"/>
  <c r="F96" i="1"/>
  <c r="D97" i="1"/>
  <c r="E97" i="1"/>
  <c r="F97" i="1"/>
  <c r="D98" i="1"/>
  <c r="E98" i="1"/>
  <c r="F98" i="1"/>
  <c r="D99" i="1"/>
  <c r="E99" i="1"/>
  <c r="F99" i="1"/>
  <c r="D100" i="1"/>
  <c r="E100" i="1"/>
  <c r="F100" i="1"/>
  <c r="D101" i="1"/>
  <c r="E101" i="1"/>
  <c r="F101" i="1"/>
  <c r="D102" i="1"/>
  <c r="E102" i="1"/>
  <c r="F102" i="1"/>
  <c r="D103" i="1"/>
  <c r="E103" i="1"/>
  <c r="F103" i="1"/>
  <c r="D104" i="1"/>
  <c r="E104" i="1"/>
  <c r="F104" i="1"/>
  <c r="D105" i="1"/>
  <c r="E105" i="1"/>
  <c r="F105" i="1"/>
  <c r="D106" i="1"/>
  <c r="E106" i="1"/>
  <c r="F106" i="1"/>
  <c r="D107" i="1"/>
  <c r="E107" i="1"/>
  <c r="F107"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73" i="1"/>
  <c r="H73" i="1"/>
  <c r="I73" i="1"/>
  <c r="J73" i="1"/>
  <c r="H74" i="1"/>
  <c r="I74" i="1"/>
  <c r="J74" i="1"/>
  <c r="H75" i="1"/>
  <c r="I75" i="1"/>
  <c r="J75" i="1"/>
  <c r="H76" i="1"/>
  <c r="I76" i="1"/>
  <c r="J76" i="1"/>
  <c r="H77" i="1"/>
  <c r="I77" i="1"/>
  <c r="J77" i="1"/>
  <c r="H78" i="1"/>
  <c r="I78" i="1"/>
  <c r="J78" i="1"/>
  <c r="H79" i="1"/>
  <c r="I79" i="1"/>
  <c r="J79" i="1"/>
  <c r="H80" i="1"/>
  <c r="I80" i="1"/>
  <c r="J80" i="1"/>
  <c r="H81" i="1"/>
  <c r="I81" i="1"/>
  <c r="J81" i="1"/>
  <c r="H82" i="1"/>
  <c r="I82" i="1"/>
  <c r="J82" i="1"/>
  <c r="H83" i="1"/>
  <c r="I83" i="1"/>
  <c r="J83" i="1"/>
  <c r="H84" i="1"/>
  <c r="I84" i="1"/>
  <c r="J84" i="1"/>
  <c r="H85" i="1"/>
  <c r="I85" i="1"/>
  <c r="J85" i="1"/>
  <c r="H86" i="1"/>
  <c r="I86" i="1"/>
  <c r="J86" i="1"/>
  <c r="H87" i="1"/>
  <c r="I87" i="1"/>
  <c r="J87" i="1"/>
  <c r="H88" i="1"/>
  <c r="I88" i="1"/>
  <c r="J88" i="1"/>
  <c r="H89" i="1"/>
  <c r="I89" i="1"/>
  <c r="J89" i="1"/>
  <c r="H90" i="1"/>
  <c r="I90" i="1"/>
  <c r="J90" i="1"/>
  <c r="H91" i="1"/>
  <c r="I91" i="1"/>
  <c r="J91" i="1"/>
  <c r="H92" i="1"/>
  <c r="I92" i="1"/>
  <c r="J92" i="1"/>
  <c r="H93" i="1"/>
  <c r="I93" i="1"/>
  <c r="J93" i="1"/>
  <c r="H94" i="1"/>
  <c r="I94" i="1"/>
  <c r="J94" i="1"/>
  <c r="H95" i="1"/>
  <c r="I95" i="1"/>
  <c r="J95" i="1"/>
  <c r="H96" i="1"/>
  <c r="I96" i="1"/>
  <c r="J96" i="1"/>
  <c r="H97" i="1"/>
  <c r="I97" i="1"/>
  <c r="J97" i="1"/>
  <c r="H98" i="1"/>
  <c r="I98" i="1"/>
  <c r="J98" i="1"/>
  <c r="H99" i="1"/>
  <c r="I99" i="1"/>
  <c r="J99" i="1"/>
  <c r="H100" i="1"/>
  <c r="I100" i="1"/>
  <c r="J100" i="1"/>
  <c r="H101" i="1"/>
  <c r="I101" i="1"/>
  <c r="J101" i="1"/>
  <c r="H102" i="1"/>
  <c r="I102" i="1"/>
  <c r="J102" i="1"/>
  <c r="H103" i="1"/>
  <c r="I103" i="1"/>
  <c r="J103" i="1"/>
  <c r="H104" i="1"/>
  <c r="I104" i="1"/>
  <c r="J104" i="1"/>
  <c r="H105" i="1"/>
  <c r="I105" i="1"/>
  <c r="J105" i="1"/>
  <c r="H106" i="1"/>
  <c r="I106" i="1"/>
  <c r="J106" i="1"/>
  <c r="H107" i="1"/>
  <c r="I107" i="1"/>
  <c r="J107"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73" i="1"/>
</calcChain>
</file>

<file path=xl/sharedStrings.xml><?xml version="1.0" encoding="utf-8"?>
<sst xmlns="http://schemas.openxmlformats.org/spreadsheetml/2006/main" count="58" uniqueCount="48">
  <si>
    <t>Rene Antonio Casaña Amaya</t>
  </si>
  <si>
    <t>Date</t>
  </si>
  <si>
    <t>Organization</t>
  </si>
  <si>
    <t xml:space="preserve">Confidence level </t>
  </si>
  <si>
    <t xml:space="preserve">Validity </t>
  </si>
  <si>
    <t xml:space="preserve">Error margin </t>
  </si>
  <si>
    <t xml:space="preserve">Calculated sample </t>
  </si>
  <si>
    <t>Population size</t>
  </si>
  <si>
    <r>
      <t>Confidence level:</t>
    </r>
    <r>
      <rPr>
        <b/>
        <sz val="8"/>
        <color rgb="FF0070C0"/>
        <rFont val="Calibri"/>
        <family val="2"/>
        <scheme val="minor"/>
      </rPr>
      <t xml:space="preserve"> 95%</t>
    </r>
  </si>
  <si>
    <r>
      <t xml:space="preserve">Confidence level: </t>
    </r>
    <r>
      <rPr>
        <b/>
        <sz val="8"/>
        <color rgb="FF0070C0"/>
        <rFont val="Calibri"/>
        <family val="2"/>
        <scheme val="minor"/>
      </rPr>
      <t>99%</t>
    </r>
  </si>
  <si>
    <t>Error margin</t>
  </si>
  <si>
    <t>https://github.com/reatcas/me-box</t>
  </si>
  <si>
    <t>Population Size</t>
  </si>
  <si>
    <r>
      <rPr>
        <b/>
        <sz val="8"/>
        <color theme="1"/>
        <rFont val="Calibri"/>
        <family val="2"/>
        <scheme val="minor"/>
      </rPr>
      <t xml:space="preserve">One of the most frequent problems in statistical analysis is the determination of the appropriate sample size.
</t>
    </r>
    <r>
      <rPr>
        <sz val="8"/>
        <color theme="1"/>
        <rFont val="Calibri"/>
        <family val="2"/>
        <scheme val="minor"/>
      </rPr>
      <t xml:space="preserve">One may ask why sample size is so important. The answer to this is that an appropriate sample size is required for validity. If the sample size it too small, it will not yield valid results. An appropriate sample size can produce accuracy of results. Moreover, the results from the small sample size will be questionable. A sample size that is too large will result in wasting money and time. It is also unethical to choose too large a sample size. There is no certain rule of thumb to determine the sample size. Some researchers do, however, support a rule of thumb when using the sample size. For example, in regression analysis, many researchers say that there should be at least 10 observations per variable. If we are using three independent variables, then a clear rule would be to have a minimum sample size of 30. Some researchers follow a statistical formula to calculate the sample size. </t>
    </r>
    <r>
      <rPr>
        <sz val="6"/>
        <color rgb="FF0070C0"/>
        <rFont val="Calibri"/>
        <family val="2"/>
        <scheme val="minor"/>
      </rPr>
      <t>Source: https://www.statisticssolutions.com/sample-size-formula/</t>
    </r>
    <r>
      <rPr>
        <sz val="8"/>
        <color theme="1"/>
        <rFont val="Calibri"/>
        <family val="2"/>
        <scheme val="minor"/>
      </rPr>
      <t xml:space="preserve">
You can use this table in the case of not having data very well defined to calculate a personalized formula.
This table contains pre-calculated sample sizes with a validity level of 50%. Also, this table detects the initial values in the automatic tool above and highlights them if they're present in the matrix</t>
    </r>
  </si>
  <si>
    <t>http://unlicense.org</t>
  </si>
  <si>
    <t>Country</t>
  </si>
  <si>
    <t>Name</t>
  </si>
  <si>
    <t>Project</t>
  </si>
  <si>
    <t>Details</t>
  </si>
  <si>
    <t xml:space="preserve">
Author: René A. Casaña - Monitoring and Evaluation
Find more tools or contribute to this project in the following link:</t>
  </si>
  <si>
    <t>Author: René A. Casaña - Monitoring and Evaluation
Find more tools or contribute to this project in the following link:</t>
  </si>
  <si>
    <t>SAMPLE CALCULATOR</t>
  </si>
  <si>
    <t xml:space="preserve">       Desired Confidence                            Z-Score
                       80%                                   -               1.28
                       85%                                   -               1.44
                       90%                                   -               1.65
                       95%                                   -               1.96
                       99%                                   -               2.58</t>
  </si>
  <si>
    <r>
      <rPr>
        <b/>
        <sz val="11"/>
        <color theme="1"/>
        <rFont val="Calibri"/>
        <family val="2"/>
        <scheme val="minor"/>
      </rPr>
      <t xml:space="preserve">
This is free and unencumbered software released into the public domain.</t>
    </r>
    <r>
      <rPr>
        <sz val="11"/>
        <color theme="1"/>
        <rFont val="Calibri"/>
        <family val="2"/>
        <scheme val="minor"/>
      </rPr>
      <t xml:space="preserve">
Anyone is free to copy, modify, publish, use, compile, sell, or
distribute this software, either in source code form or as a compiled
binary, for any purpose, commercial or non-commercial, and by any
means.
In jurisdictions that recognize copyright laws, the author or authors
of this software dedicate any and all copyright interest in the
software to the public domain. We make this dedication for the benefit
of the public at large and to the detriment of our heirs and
successors. We intend this dedication to be an overt act of
relinquishment in perpetuity of all present and future rights to this
software under copyright law.
THE SOFTWARE IS PROVIDED "AS IS", WITHOUT WARRANTY OF ANY KIND,
EXPRESS OR IMPLIED, INCLUDING BUT NOT LIMITED TO THE WARRANTIES OF
MERCHANTABILITY, FITNESS FOR A PARTICULAR PURPOSE AND NONINFRINGEMENT.
IN NO EVENT SHALL THE AUTHORS BE LIABLE FOR ANY CLAIM, DAMAGES OR
OTHER LIABILITY, WHETHER IN AN ACTION OF CONTRACT, TORT OR OTHERWISE,
ARISING FROM, OUT OF OR IN CONNECTION WITH THE SOFTWARE OR THE USE OR
OTHER DEALINGS IN THE SOFTWARE.
For more information, please refer to:</t>
    </r>
  </si>
  <si>
    <t>Informative section</t>
  </si>
  <si>
    <t>STANDARD SAMPLES TABLE</t>
  </si>
  <si>
    <r>
      <rPr>
        <b/>
        <sz val="7"/>
        <color theme="1"/>
        <rFont val="Calibri"/>
        <family val="2"/>
        <scheme val="minor"/>
      </rPr>
      <t xml:space="preserve">Population size - N  : </t>
    </r>
    <r>
      <rPr>
        <sz val="7"/>
        <color theme="1"/>
        <rFont val="Calibri"/>
        <family val="2"/>
        <scheme val="minor"/>
      </rPr>
      <t xml:space="preserve"> Population universe to sample
</t>
    </r>
    <r>
      <rPr>
        <b/>
        <sz val="7"/>
        <color theme="1"/>
        <rFont val="Calibri"/>
        <family val="2"/>
        <scheme val="minor"/>
      </rPr>
      <t>Sample - S :</t>
    </r>
    <r>
      <rPr>
        <sz val="7"/>
        <color theme="1"/>
        <rFont val="Calibri"/>
        <family val="2"/>
        <scheme val="minor"/>
      </rPr>
      <t xml:space="preserve"> is the part of the population that helps us to draw inferences about the population. Collecting research of the complete information about the population is not possible and it is time consuming and expensive. Thus, we need an appropriate sample size so that we can make inferences about the population based on that sample.
</t>
    </r>
    <r>
      <rPr>
        <b/>
        <sz val="7"/>
        <color theme="1"/>
        <rFont val="Calibri"/>
        <family val="2"/>
        <scheme val="minor"/>
      </rPr>
      <t>Validity - v  :</t>
    </r>
    <r>
      <rPr>
        <sz val="7"/>
        <color theme="1"/>
        <rFont val="Calibri"/>
        <family val="2"/>
        <scheme val="minor"/>
      </rPr>
      <t xml:space="preserve"> Percentage of the population that shares the relevant characteristics that we are looking for (50% is the default value), example: "40% of our population has suffered a traffic accident"
</t>
    </r>
    <r>
      <rPr>
        <b/>
        <sz val="7"/>
        <color theme="1"/>
        <rFont val="Calibri"/>
        <family val="2"/>
        <scheme val="minor"/>
      </rPr>
      <t>Error margin - e  :</t>
    </r>
    <r>
      <rPr>
        <sz val="7"/>
        <color theme="1"/>
        <rFont val="Calibri"/>
        <family val="2"/>
        <scheme val="minor"/>
      </rPr>
      <t xml:space="preserve">  Percentage of data that may be subject to bias or that may be erroneous due to other factors
</t>
    </r>
    <r>
      <rPr>
        <b/>
        <sz val="7"/>
        <color theme="1"/>
        <rFont val="Calibri"/>
        <family val="2"/>
        <scheme val="minor"/>
      </rPr>
      <t>Confidence level - z-score  :</t>
    </r>
    <r>
      <rPr>
        <sz val="7"/>
        <color theme="1"/>
        <rFont val="Calibri"/>
        <family val="2"/>
        <scheme val="minor"/>
      </rPr>
      <t xml:space="preserve">  The z-score is the number of standard deviations a given proportion is away from the mean. To find the right z-score to use, refer to the table on the left. </t>
    </r>
    <r>
      <rPr>
        <i/>
        <sz val="7"/>
        <color theme="1"/>
        <rFont val="Calibri"/>
        <family val="2"/>
        <scheme val="minor"/>
      </rPr>
      <t xml:space="preserve">(95% - 1.96 is the Industry standard)
</t>
    </r>
    <r>
      <rPr>
        <b/>
        <sz val="7"/>
        <color theme="1"/>
        <rFont val="Calibri"/>
        <family val="2"/>
        <scheme val="minor"/>
      </rPr>
      <t/>
    </r>
  </si>
  <si>
    <t>CALCULADOR DE MUESTRAS</t>
  </si>
  <si>
    <t>Organización</t>
  </si>
  <si>
    <t>Nombre</t>
  </si>
  <si>
    <t>Proyecto</t>
  </si>
  <si>
    <t>Fecha</t>
  </si>
  <si>
    <t>Detalles</t>
  </si>
  <si>
    <t>Tamaño de Población</t>
  </si>
  <si>
    <t>Nivel de Confianza</t>
  </si>
  <si>
    <t>Validez</t>
  </si>
  <si>
    <t>Margen de error</t>
  </si>
  <si>
    <t>Muestra calculada</t>
  </si>
  <si>
    <t>Sección Informativa</t>
  </si>
  <si>
    <t xml:space="preserve">      Confianza deseada                            Z-Score
                       80%                                   -               1.28
                       85%                                   -               1.44
                       90%                                   -               1.65
                       95%                                   -               1.96
                       99%                                   -               2.58</t>
  </si>
  <si>
    <r>
      <rPr>
        <b/>
        <sz val="7"/>
        <color theme="1"/>
        <rFont val="Calibri"/>
        <family val="2"/>
        <scheme val="minor"/>
      </rPr>
      <t xml:space="preserve">Tamaño de la población - N  : </t>
    </r>
    <r>
      <rPr>
        <sz val="7"/>
        <color theme="1"/>
        <rFont val="Calibri"/>
        <family val="2"/>
        <scheme val="minor"/>
      </rPr>
      <t xml:space="preserve">Universo poblacional a muestrear
</t>
    </r>
    <r>
      <rPr>
        <b/>
        <sz val="7"/>
        <color theme="1"/>
        <rFont val="Calibri"/>
        <family val="2"/>
        <scheme val="minor"/>
      </rPr>
      <t>Muestra - S :</t>
    </r>
    <r>
      <rPr>
        <sz val="7"/>
        <color theme="1"/>
        <rFont val="Calibri"/>
        <family val="2"/>
        <scheme val="minor"/>
      </rPr>
      <t xml:space="preserve"> Parte de la población que nos ayudará a definir inferencias sobre la población, recolectando datos relevantes de la misma
</t>
    </r>
    <r>
      <rPr>
        <b/>
        <sz val="7"/>
        <color theme="1"/>
        <rFont val="Calibri"/>
        <family val="2"/>
        <scheme val="minor"/>
      </rPr>
      <t>Validez - v  :</t>
    </r>
    <r>
      <rPr>
        <sz val="7"/>
        <color theme="1"/>
        <rFont val="Calibri"/>
        <family val="2"/>
        <scheme val="minor"/>
      </rPr>
      <t xml:space="preserve"> Porcentaje de la población que comparte características relevantes de datos que estamos buscando, por (50% es el valor por defecto) ejemplo: "40% de la población ha sufrido un accidente de tráfico"
</t>
    </r>
    <r>
      <rPr>
        <b/>
        <sz val="7"/>
        <color theme="1"/>
        <rFont val="Calibri"/>
        <family val="2"/>
        <scheme val="minor"/>
      </rPr>
      <t>Margen de error - e  :</t>
    </r>
    <r>
      <rPr>
        <sz val="7"/>
        <color theme="1"/>
        <rFont val="Calibri"/>
        <family val="2"/>
        <scheme val="minor"/>
      </rPr>
      <t xml:space="preserve">  Porcentaje de los datos que está sujeta a errores ó sesgos por diversos factores.
</t>
    </r>
    <r>
      <rPr>
        <b/>
        <sz val="7"/>
        <color theme="1"/>
        <rFont val="Calibri"/>
        <family val="2"/>
        <scheme val="minor"/>
      </rPr>
      <t>Nivel de Confianza - z-score  :</t>
    </r>
    <r>
      <rPr>
        <sz val="7"/>
        <color theme="1"/>
        <rFont val="Calibri"/>
        <family val="2"/>
        <scheme val="minor"/>
      </rPr>
      <t xml:space="preserve">  El Z-Score es el número de desviaciones estándard que una proporción se aleja de el objetivo. Básicamente, el nivel de confiabilidad que deseamos tenga nuestros datos, para saber el valor Z-Score, vea la tabla a la izquierda </t>
    </r>
    <r>
      <rPr>
        <i/>
        <sz val="7"/>
        <color theme="1"/>
        <rFont val="Calibri"/>
        <family val="2"/>
        <scheme val="minor"/>
      </rPr>
      <t xml:space="preserve">(95% - 1.96 es el estándard de la industria)
</t>
    </r>
    <r>
      <rPr>
        <b/>
        <sz val="7"/>
        <color theme="1"/>
        <rFont val="Calibri"/>
        <family val="2"/>
        <scheme val="minor"/>
      </rPr>
      <t/>
    </r>
  </si>
  <si>
    <t>Autor: René A. Casaña - Monitoreo y Evaluación
Encuentra más herramientas ó contribuye a este proyecto en el enlace a continuación:</t>
  </si>
  <si>
    <t>TABLA DE MUESTREO STANDARD</t>
  </si>
  <si>
    <t xml:space="preserve">Puedes usar esta tabla de muestras stánderd en caso de no contar con parámetros definidos para calcular mediante la fórmula personalizada de la calculadora. Esta tabla contiene muestras precalculadas con un nivel de validez de 50%. También la tabla detecta los valores iniciales usados en la herramienta automática de arriba y marca en colores los ítems en caso de estar presentes en la tabla
</t>
  </si>
  <si>
    <t>Tamaño de la población</t>
  </si>
  <si>
    <r>
      <t>Nivel de confianza:</t>
    </r>
    <r>
      <rPr>
        <b/>
        <sz val="8"/>
        <color rgb="FF0070C0"/>
        <rFont val="Calibri"/>
        <family val="2"/>
        <scheme val="minor"/>
      </rPr>
      <t xml:space="preserve"> 95%</t>
    </r>
  </si>
  <si>
    <r>
      <t xml:space="preserve">Nivel de confianza: </t>
    </r>
    <r>
      <rPr>
        <b/>
        <sz val="8"/>
        <color rgb="FF0070C0"/>
        <rFont val="Calibri"/>
        <family val="2"/>
        <scheme val="minor"/>
      </rPr>
      <t>99%</t>
    </r>
  </si>
  <si>
    <t>Lugar/País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</si>
</sst>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F800]dddd\,\ mmmm\ dd\,\ yyyy"/>
  </numFmts>
  <fonts count="28" x14ac:knownFonts="1">
    <font>
      <sz val="11"/>
      <color theme="1"/>
      <name val="Calibri"/>
      <family val="2"/>
      <scheme val="minor"/>
    </font>
    <font>
      <sz val="11"/>
      <color theme="1"/>
      <name val="Calibri"/>
      <family val="2"/>
      <scheme val="minor"/>
    </font>
    <font>
      <b/>
      <sz val="11"/>
      <color theme="1"/>
      <name val="Calibri"/>
      <family val="2"/>
      <scheme val="minor"/>
    </font>
    <font>
      <sz val="10"/>
      <color rgb="FF000000"/>
      <name val="Times New Roman"/>
      <family val="1"/>
    </font>
    <font>
      <sz val="8"/>
      <color theme="0"/>
      <name val="Calibri"/>
      <family val="2"/>
      <scheme val="minor"/>
    </font>
    <font>
      <sz val="8"/>
      <color theme="1"/>
      <name val="Calibri"/>
      <family val="2"/>
      <scheme val="minor"/>
    </font>
    <font>
      <b/>
      <sz val="14"/>
      <color theme="1"/>
      <name val="Calibri"/>
      <family val="2"/>
      <scheme val="minor"/>
    </font>
    <font>
      <sz val="10"/>
      <color theme="1"/>
      <name val="Calibri"/>
      <family val="2"/>
      <scheme val="minor"/>
    </font>
    <font>
      <sz val="8"/>
      <color theme="1" tint="0.499984740745262"/>
      <name val="Calibri"/>
      <family val="2"/>
      <scheme val="minor"/>
    </font>
    <font>
      <b/>
      <sz val="10"/>
      <color theme="1"/>
      <name val="Calibri"/>
      <family val="2"/>
      <scheme val="minor"/>
    </font>
    <font>
      <sz val="10"/>
      <color theme="1" tint="0.499984740745262"/>
      <name val="Calibri"/>
      <family val="2"/>
      <scheme val="minor"/>
    </font>
    <font>
      <sz val="8"/>
      <name val="Calibri"/>
      <family val="2"/>
      <scheme val="minor"/>
    </font>
    <font>
      <b/>
      <sz val="8"/>
      <name val="Calibri"/>
      <family val="2"/>
      <scheme val="minor"/>
    </font>
    <font>
      <b/>
      <sz val="8"/>
      <color rgb="FF0070C0"/>
      <name val="Calibri"/>
      <family val="2"/>
      <scheme val="minor"/>
    </font>
    <font>
      <sz val="10"/>
      <name val="Calibri"/>
      <family val="2"/>
      <scheme val="minor"/>
    </font>
    <font>
      <b/>
      <sz val="8"/>
      <color theme="1"/>
      <name val="Calibri"/>
      <family val="2"/>
      <scheme val="minor"/>
    </font>
    <font>
      <sz val="7"/>
      <color theme="1"/>
      <name val="Calibri"/>
      <family val="2"/>
      <scheme val="minor"/>
    </font>
    <font>
      <sz val="7"/>
      <name val="Calibri"/>
      <family val="2"/>
      <scheme val="minor"/>
    </font>
    <font>
      <sz val="7"/>
      <color theme="1" tint="0.499984740745262"/>
      <name val="Calibri"/>
      <family val="2"/>
      <scheme val="minor"/>
    </font>
    <font>
      <b/>
      <sz val="7"/>
      <color theme="1"/>
      <name val="Calibri"/>
      <family val="2"/>
      <scheme val="minor"/>
    </font>
    <font>
      <i/>
      <sz val="7"/>
      <color theme="1"/>
      <name val="Calibri"/>
      <family val="2"/>
      <scheme val="minor"/>
    </font>
    <font>
      <u/>
      <sz val="11"/>
      <color theme="10"/>
      <name val="Calibri"/>
      <family val="2"/>
      <scheme val="minor"/>
    </font>
    <font>
      <sz val="7"/>
      <color theme="0" tint="-0.499984740745262"/>
      <name val="Calibri"/>
      <family val="2"/>
      <scheme val="minor"/>
    </font>
    <font>
      <sz val="7"/>
      <color rgb="FF0070C0"/>
      <name val="Calibri"/>
      <family val="2"/>
      <scheme val="minor"/>
    </font>
    <font>
      <b/>
      <sz val="7"/>
      <color rgb="FF0070C0"/>
      <name val="Calibri"/>
      <family val="2"/>
      <scheme val="minor"/>
    </font>
    <font>
      <sz val="6"/>
      <color rgb="FF0070C0"/>
      <name val="Calibri"/>
      <family val="2"/>
      <scheme val="minor"/>
    </font>
    <font>
      <u/>
      <sz val="7"/>
      <color theme="10"/>
      <name val="Calibri"/>
      <family val="2"/>
      <scheme val="minor"/>
    </font>
    <font>
      <u/>
      <sz val="8"/>
      <color theme="10"/>
      <name val="Calibri"/>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0"/>
        <bgColor indexed="64"/>
      </patternFill>
    </fill>
  </fills>
  <borders count="32">
    <border>
      <left/>
      <right/>
      <top/>
      <bottom/>
      <diagonal/>
    </border>
    <border>
      <left/>
      <right/>
      <top/>
      <bottom style="thin">
        <color indexed="64"/>
      </bottom>
      <diagonal/>
    </border>
    <border>
      <left/>
      <right style="thin">
        <color indexed="64"/>
      </right>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bottom style="double">
        <color indexed="64"/>
      </bottom>
      <diagonal/>
    </border>
    <border>
      <left style="thin">
        <color indexed="64"/>
      </left>
      <right/>
      <top/>
      <bottom/>
      <diagonal/>
    </border>
    <border>
      <left style="thin">
        <color indexed="64"/>
      </left>
      <right/>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indexed="64"/>
      </left>
      <right style="medium">
        <color indexed="64"/>
      </right>
      <top/>
      <bottom style="double">
        <color indexed="64"/>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top/>
      <bottom style="hair">
        <color indexed="64"/>
      </bottom>
      <diagonal/>
    </border>
    <border>
      <left style="hair">
        <color indexed="64"/>
      </left>
      <right/>
      <top/>
      <bottom style="thin">
        <color indexed="64"/>
      </bottom>
      <diagonal/>
    </border>
    <border>
      <left style="hair">
        <color indexed="64"/>
      </left>
      <right/>
      <top style="thin">
        <color indexed="64"/>
      </top>
      <bottom style="thin">
        <color indexed="64"/>
      </bottom>
      <diagonal/>
    </border>
    <border>
      <left/>
      <right/>
      <top/>
      <bottom style="double">
        <color indexed="64"/>
      </bottom>
      <diagonal/>
    </border>
    <border>
      <left/>
      <right/>
      <top style="double">
        <color indexed="64"/>
      </top>
      <bottom/>
      <diagonal/>
    </border>
  </borders>
  <cellStyleXfs count="4">
    <xf numFmtId="0" fontId="0" fillId="0" borderId="0"/>
    <xf numFmtId="9" fontId="1" fillId="0" borderId="0" applyFont="0" applyFill="0" applyBorder="0" applyAlignment="0" applyProtection="0"/>
    <xf numFmtId="0" fontId="3" fillId="0" borderId="0"/>
    <xf numFmtId="0" fontId="21" fillId="0" borderId="0" applyNumberFormat="0" applyFill="0" applyBorder="0" applyAlignment="0" applyProtection="0"/>
  </cellStyleXfs>
  <cellXfs count="93">
    <xf numFmtId="0" fontId="0" fillId="0" borderId="0" xfId="0"/>
    <xf numFmtId="0" fontId="4" fillId="0" borderId="0" xfId="0" applyFont="1" applyProtection="1">
      <protection hidden="1"/>
    </xf>
    <xf numFmtId="0" fontId="5" fillId="0" borderId="0" xfId="0" applyFont="1" applyProtection="1">
      <protection hidden="1"/>
    </xf>
    <xf numFmtId="0" fontId="7" fillId="0" borderId="0" xfId="0" applyFont="1" applyAlignment="1" applyProtection="1">
      <alignment horizontal="right"/>
      <protection hidden="1"/>
    </xf>
    <xf numFmtId="0" fontId="7" fillId="0" borderId="0" xfId="0" applyFont="1" applyProtection="1">
      <protection hidden="1"/>
    </xf>
    <xf numFmtId="0" fontId="8" fillId="0" borderId="0" xfId="0" applyFont="1" applyAlignment="1" applyProtection="1">
      <alignment horizontal="right" vertical="top" wrapText="1"/>
      <protection hidden="1"/>
    </xf>
    <xf numFmtId="9" fontId="5" fillId="0" borderId="0" xfId="1" applyFont="1" applyBorder="1" applyAlignment="1" applyProtection="1">
      <alignment horizontal="left"/>
      <protection hidden="1"/>
    </xf>
    <xf numFmtId="2" fontId="5" fillId="0" borderId="0" xfId="0" applyNumberFormat="1" applyFont="1" applyProtection="1">
      <protection hidden="1"/>
    </xf>
    <xf numFmtId="9" fontId="5" fillId="0" borderId="0" xfId="0" applyNumberFormat="1" applyFont="1" applyProtection="1">
      <protection hidden="1"/>
    </xf>
    <xf numFmtId="0" fontId="5" fillId="0" borderId="0" xfId="0" applyFont="1" applyBorder="1" applyAlignment="1" applyProtection="1">
      <alignment horizontal="left"/>
      <protection hidden="1"/>
    </xf>
    <xf numFmtId="0" fontId="7" fillId="0" borderId="0" xfId="0" applyFont="1" applyBorder="1" applyAlignment="1" applyProtection="1">
      <alignment horizontal="left"/>
      <protection hidden="1"/>
    </xf>
    <xf numFmtId="3" fontId="14" fillId="0" borderId="28" xfId="0" applyNumberFormat="1" applyFont="1" applyFill="1" applyBorder="1" applyAlignment="1" applyProtection="1">
      <alignment horizontal="left"/>
      <protection hidden="1"/>
    </xf>
    <xf numFmtId="3" fontId="14" fillId="0" borderId="1" xfId="0" applyNumberFormat="1" applyFont="1" applyFill="1" applyBorder="1" applyAlignment="1" applyProtection="1">
      <alignment horizontal="left"/>
      <protection hidden="1"/>
    </xf>
    <xf numFmtId="0" fontId="16" fillId="3" borderId="0" xfId="0" applyFont="1" applyFill="1" applyBorder="1" applyAlignment="1" applyProtection="1">
      <alignment horizontal="left" vertical="center" wrapText="1"/>
      <protection hidden="1"/>
    </xf>
    <xf numFmtId="0" fontId="16" fillId="0" borderId="0" xfId="0" applyFont="1" applyBorder="1" applyAlignment="1" applyProtection="1">
      <alignment horizontal="justify" vertical="top"/>
      <protection hidden="1"/>
    </xf>
    <xf numFmtId="0" fontId="16" fillId="0" borderId="0" xfId="0" applyFont="1" applyAlignment="1" applyProtection="1">
      <alignment horizontal="justify" vertical="top"/>
      <protection hidden="1"/>
    </xf>
    <xf numFmtId="0" fontId="5" fillId="0" borderId="0" xfId="0" applyFont="1" applyAlignment="1" applyProtection="1">
      <alignment horizontal="right"/>
      <protection hidden="1"/>
    </xf>
    <xf numFmtId="0" fontId="5" fillId="0" borderId="11" xfId="0" applyFont="1" applyBorder="1" applyAlignment="1" applyProtection="1">
      <protection hidden="1"/>
    </xf>
    <xf numFmtId="0" fontId="5" fillId="0" borderId="3" xfId="0" applyFont="1" applyBorder="1" applyProtection="1">
      <protection hidden="1"/>
    </xf>
    <xf numFmtId="9" fontId="5" fillId="0" borderId="3" xfId="0" applyNumberFormat="1" applyFont="1" applyBorder="1" applyAlignment="1" applyProtection="1">
      <protection hidden="1"/>
    </xf>
    <xf numFmtId="0" fontId="5" fillId="0" borderId="4" xfId="0" applyFont="1" applyBorder="1" applyAlignment="1" applyProtection="1">
      <protection hidden="1"/>
    </xf>
    <xf numFmtId="0" fontId="5" fillId="0" borderId="3" xfId="0" applyFont="1" applyBorder="1" applyAlignment="1" applyProtection="1">
      <protection hidden="1"/>
    </xf>
    <xf numFmtId="0" fontId="5" fillId="0" borderId="5" xfId="0" applyFont="1" applyBorder="1" applyAlignment="1" applyProtection="1">
      <protection hidden="1"/>
    </xf>
    <xf numFmtId="164" fontId="11" fillId="0" borderId="13" xfId="1" applyNumberFormat="1" applyFont="1" applyBorder="1" applyAlignment="1" applyProtection="1">
      <alignment horizontal="center" vertical="center"/>
      <protection hidden="1"/>
    </xf>
    <xf numFmtId="164" fontId="11" fillId="0" borderId="23" xfId="1" applyNumberFormat="1" applyFont="1" applyBorder="1" applyAlignment="1" applyProtection="1">
      <alignment horizontal="center" vertical="center"/>
      <protection hidden="1"/>
    </xf>
    <xf numFmtId="3" fontId="5" fillId="0" borderId="8" xfId="0" applyNumberFormat="1" applyFont="1" applyBorder="1" applyProtection="1">
      <protection hidden="1"/>
    </xf>
    <xf numFmtId="0" fontId="5" fillId="0" borderId="14" xfId="0" applyFont="1" applyFill="1" applyBorder="1" applyAlignment="1" applyProtection="1">
      <alignment horizontal="center"/>
      <protection hidden="1"/>
    </xf>
    <xf numFmtId="0" fontId="5" fillId="0" borderId="21" xfId="0" applyFont="1" applyFill="1" applyBorder="1" applyAlignment="1" applyProtection="1">
      <alignment horizontal="center"/>
      <protection hidden="1"/>
    </xf>
    <xf numFmtId="3" fontId="5" fillId="0" borderId="6" xfId="0" applyNumberFormat="1" applyFont="1" applyBorder="1" applyProtection="1">
      <protection hidden="1"/>
    </xf>
    <xf numFmtId="0" fontId="5" fillId="0" borderId="12" xfId="0" applyFont="1" applyFill="1" applyBorder="1" applyAlignment="1" applyProtection="1">
      <alignment horizontal="center"/>
      <protection hidden="1"/>
    </xf>
    <xf numFmtId="0" fontId="5" fillId="0" borderId="20" xfId="0" applyFont="1" applyFill="1" applyBorder="1" applyAlignment="1" applyProtection="1">
      <alignment horizontal="center"/>
      <protection hidden="1"/>
    </xf>
    <xf numFmtId="3" fontId="5" fillId="0" borderId="9" xfId="0" applyNumberFormat="1" applyFont="1" applyBorder="1" applyProtection="1">
      <protection hidden="1"/>
    </xf>
    <xf numFmtId="0" fontId="5" fillId="0" borderId="15" xfId="0" applyFont="1" applyFill="1" applyBorder="1" applyAlignment="1" applyProtection="1">
      <alignment horizontal="center"/>
      <protection hidden="1"/>
    </xf>
    <xf numFmtId="0" fontId="5" fillId="0" borderId="22" xfId="0" applyFont="1" applyFill="1" applyBorder="1" applyAlignment="1" applyProtection="1">
      <alignment horizontal="center"/>
      <protection hidden="1"/>
    </xf>
    <xf numFmtId="0" fontId="7" fillId="0" borderId="0" xfId="0" applyFont="1" applyAlignment="1" applyProtection="1">
      <alignment horizontal="right"/>
      <protection locked="0"/>
    </xf>
    <xf numFmtId="0" fontId="7" fillId="0" borderId="0" xfId="0" applyFont="1" applyProtection="1">
      <protection locked="0"/>
    </xf>
    <xf numFmtId="0" fontId="9" fillId="0" borderId="1" xfId="0" applyFont="1" applyBorder="1" applyAlignment="1" applyProtection="1">
      <alignment horizontal="right"/>
      <protection locked="0"/>
    </xf>
    <xf numFmtId="0" fontId="7" fillId="0" borderId="1" xfId="0" applyFont="1" applyBorder="1" applyProtection="1">
      <protection locked="0"/>
    </xf>
    <xf numFmtId="0" fontId="9" fillId="0" borderId="16" xfId="0" applyFont="1" applyBorder="1" applyAlignment="1" applyProtection="1">
      <alignment horizontal="right"/>
      <protection locked="0"/>
    </xf>
    <xf numFmtId="0" fontId="9" fillId="0" borderId="0" xfId="0" applyFont="1" applyAlignment="1" applyProtection="1">
      <alignment horizontal="right" vertical="top"/>
      <protection locked="0"/>
    </xf>
    <xf numFmtId="9" fontId="7" fillId="0" borderId="0" xfId="0" applyNumberFormat="1" applyFont="1" applyProtection="1">
      <protection locked="0"/>
    </xf>
    <xf numFmtId="0" fontId="7" fillId="0" borderId="0" xfId="0" applyFont="1" applyBorder="1" applyAlignment="1" applyProtection="1">
      <alignment horizontal="left"/>
      <protection locked="0"/>
    </xf>
    <xf numFmtId="0" fontId="5" fillId="0" borderId="0" xfId="0" applyFont="1" applyProtection="1">
      <protection locked="0"/>
    </xf>
    <xf numFmtId="0" fontId="7" fillId="0" borderId="28" xfId="0" applyFont="1" applyFill="1" applyBorder="1" applyAlignment="1" applyProtection="1">
      <alignment horizontal="right"/>
      <protection locked="0"/>
    </xf>
    <xf numFmtId="9" fontId="7" fillId="0" borderId="28" xfId="1" applyFont="1" applyFill="1" applyBorder="1" applyAlignment="1" applyProtection="1">
      <alignment horizontal="right"/>
      <protection locked="0"/>
    </xf>
    <xf numFmtId="164" fontId="7" fillId="0" borderId="28" xfId="1" applyNumberFormat="1" applyFont="1" applyFill="1" applyBorder="1" applyAlignment="1" applyProtection="1">
      <alignment horizontal="right"/>
      <protection locked="0"/>
    </xf>
    <xf numFmtId="0" fontId="10" fillId="0" borderId="0" xfId="0" applyFont="1" applyAlignment="1" applyProtection="1">
      <alignment horizontal="right" vertical="top" wrapText="1"/>
      <protection locked="0"/>
    </xf>
    <xf numFmtId="9" fontId="7" fillId="0" borderId="24" xfId="1" applyFont="1" applyBorder="1" applyAlignment="1" applyProtection="1">
      <alignment horizontal="left"/>
      <protection locked="0"/>
    </xf>
    <xf numFmtId="0" fontId="5" fillId="0" borderId="24" xfId="0" applyFont="1" applyBorder="1" applyProtection="1">
      <protection locked="0"/>
    </xf>
    <xf numFmtId="3" fontId="7" fillId="2" borderId="28" xfId="0" applyNumberFormat="1" applyFont="1" applyFill="1" applyBorder="1" applyAlignment="1" applyProtection="1">
      <alignment horizontal="right"/>
      <protection locked="0"/>
    </xf>
    <xf numFmtId="0" fontId="22" fillId="3" borderId="0" xfId="0" applyFont="1" applyFill="1" applyBorder="1" applyAlignment="1" applyProtection="1">
      <alignment wrapText="1"/>
      <protection hidden="1"/>
    </xf>
    <xf numFmtId="0" fontId="24" fillId="3" borderId="0" xfId="0" applyFont="1" applyFill="1" applyBorder="1" applyAlignment="1" applyProtection="1">
      <alignment vertical="top" wrapText="1"/>
      <protection hidden="1"/>
    </xf>
    <xf numFmtId="0" fontId="23" fillId="3" borderId="0" xfId="0" applyFont="1" applyFill="1" applyBorder="1" applyAlignment="1" applyProtection="1">
      <alignment vertical="top" wrapText="1"/>
      <protection hidden="1"/>
    </xf>
    <xf numFmtId="0" fontId="16" fillId="0" borderId="0" xfId="0" applyFont="1" applyAlignment="1" applyProtection="1">
      <alignment vertical="top"/>
      <protection hidden="1"/>
    </xf>
    <xf numFmtId="2" fontId="7" fillId="0" borderId="0" xfId="0" applyNumberFormat="1" applyFont="1" applyProtection="1">
      <protection locked="0"/>
    </xf>
    <xf numFmtId="9" fontId="7" fillId="0" borderId="0" xfId="1" applyFont="1" applyBorder="1" applyAlignment="1" applyProtection="1">
      <alignment horizontal="left"/>
      <protection locked="0"/>
    </xf>
    <xf numFmtId="0" fontId="0" fillId="0" borderId="0" xfId="0" applyProtection="1">
      <protection hidden="1"/>
    </xf>
    <xf numFmtId="0" fontId="16" fillId="0" borderId="0" xfId="0" applyFont="1" applyAlignment="1" applyProtection="1">
      <alignment horizontal="left" wrapText="1"/>
      <protection hidden="1"/>
    </xf>
    <xf numFmtId="0" fontId="18" fillId="0" borderId="27" xfId="0" applyFont="1" applyBorder="1" applyAlignment="1" applyProtection="1">
      <alignment vertical="top" wrapText="1"/>
      <protection hidden="1"/>
    </xf>
    <xf numFmtId="0" fontId="5" fillId="0" borderId="0" xfId="0" applyFont="1" applyBorder="1" applyProtection="1">
      <protection hidden="1"/>
    </xf>
    <xf numFmtId="0" fontId="17" fillId="0" borderId="27" xfId="0" applyFont="1" applyBorder="1" applyAlignment="1" applyProtection="1">
      <alignment vertical="top" wrapText="1"/>
      <protection hidden="1"/>
    </xf>
    <xf numFmtId="0" fontId="27" fillId="0" borderId="0" xfId="3" applyFont="1" applyProtection="1">
      <protection hidden="1"/>
    </xf>
    <xf numFmtId="0" fontId="21" fillId="0" borderId="30" xfId="3" applyBorder="1" applyAlignment="1" applyProtection="1">
      <alignment horizontal="right"/>
      <protection hidden="1"/>
    </xf>
    <xf numFmtId="0" fontId="0" fillId="0" borderId="30" xfId="0" applyBorder="1" applyProtection="1">
      <protection hidden="1"/>
    </xf>
    <xf numFmtId="0" fontId="16" fillId="3" borderId="0" xfId="0" applyFont="1" applyFill="1" applyBorder="1" applyAlignment="1" applyProtection="1">
      <alignment horizontal="left" vertical="center" wrapText="1"/>
      <protection hidden="1"/>
    </xf>
    <xf numFmtId="0" fontId="12" fillId="0" borderId="17" xfId="0" applyFont="1" applyBorder="1" applyAlignment="1" applyProtection="1">
      <alignment horizontal="center" vertical="center" wrapText="1"/>
      <protection hidden="1"/>
    </xf>
    <xf numFmtId="0" fontId="12" fillId="0" borderId="18" xfId="0" applyFont="1" applyBorder="1" applyAlignment="1" applyProtection="1">
      <alignment horizontal="center" vertical="center" wrapText="1"/>
      <protection hidden="1"/>
    </xf>
    <xf numFmtId="0" fontId="12" fillId="0" borderId="19" xfId="0" applyFont="1" applyBorder="1" applyAlignment="1" applyProtection="1">
      <alignment horizontal="center" vertical="center" wrapText="1"/>
      <protection hidden="1"/>
    </xf>
    <xf numFmtId="0" fontId="11" fillId="0" borderId="12" xfId="0" applyFont="1" applyBorder="1" applyAlignment="1" applyProtection="1">
      <alignment horizontal="center"/>
      <protection hidden="1"/>
    </xf>
    <xf numFmtId="0" fontId="11" fillId="0" borderId="1" xfId="0" applyFont="1" applyBorder="1" applyAlignment="1" applyProtection="1">
      <alignment horizontal="center"/>
      <protection hidden="1"/>
    </xf>
    <xf numFmtId="0" fontId="11" fillId="0" borderId="2" xfId="0" applyFont="1" applyBorder="1" applyAlignment="1" applyProtection="1">
      <alignment horizontal="center"/>
      <protection hidden="1"/>
    </xf>
    <xf numFmtId="0" fontId="11" fillId="0" borderId="7" xfId="0" applyFont="1" applyBorder="1" applyAlignment="1" applyProtection="1">
      <alignment horizontal="center"/>
      <protection hidden="1"/>
    </xf>
    <xf numFmtId="0" fontId="5" fillId="0" borderId="0" xfId="0" applyFont="1" applyBorder="1" applyAlignment="1" applyProtection="1">
      <alignment horizontal="justify" vertical="top" wrapText="1"/>
      <protection hidden="1"/>
    </xf>
    <xf numFmtId="0" fontId="16" fillId="3" borderId="0" xfId="0" applyFont="1" applyFill="1" applyBorder="1" applyAlignment="1" applyProtection="1">
      <alignment horizontal="left" vertical="center" wrapText="1"/>
      <protection hidden="1"/>
    </xf>
    <xf numFmtId="0" fontId="16" fillId="3" borderId="25" xfId="0" applyFont="1" applyFill="1" applyBorder="1" applyAlignment="1" applyProtection="1">
      <alignment horizontal="left" vertical="center" wrapText="1"/>
      <protection hidden="1"/>
    </xf>
    <xf numFmtId="0" fontId="26" fillId="3" borderId="0" xfId="3" applyFont="1" applyFill="1" applyBorder="1" applyAlignment="1" applyProtection="1">
      <alignment horizontal="center" vertical="top" wrapText="1"/>
      <protection hidden="1"/>
    </xf>
    <xf numFmtId="0" fontId="24" fillId="3" borderId="0" xfId="0" applyFont="1" applyFill="1" applyBorder="1" applyAlignment="1" applyProtection="1">
      <alignment horizontal="center" vertical="top" wrapText="1"/>
      <protection hidden="1"/>
    </xf>
    <xf numFmtId="0" fontId="5" fillId="0" borderId="0" xfId="0" applyFont="1" applyAlignment="1" applyProtection="1">
      <alignment horizontal="left" vertical="top" wrapText="1"/>
      <protection hidden="1"/>
    </xf>
    <xf numFmtId="165" fontId="7" fillId="0" borderId="29" xfId="0" applyNumberFormat="1" applyFont="1" applyBorder="1" applyAlignment="1" applyProtection="1">
      <alignment horizontal="left"/>
      <protection locked="0"/>
    </xf>
    <xf numFmtId="165" fontId="7" fillId="0" borderId="16" xfId="0" applyNumberFormat="1" applyFont="1" applyBorder="1" applyAlignment="1" applyProtection="1">
      <alignment horizontal="left"/>
      <protection locked="0"/>
    </xf>
    <xf numFmtId="0" fontId="7" fillId="0" borderId="28" xfId="0" applyFont="1" applyBorder="1" applyAlignment="1" applyProtection="1">
      <alignment horizontal="left"/>
      <protection locked="0"/>
    </xf>
    <xf numFmtId="0" fontId="7" fillId="0" borderId="1" xfId="0" applyFont="1" applyBorder="1" applyAlignment="1" applyProtection="1">
      <alignment horizontal="left"/>
      <protection locked="0"/>
    </xf>
    <xf numFmtId="0" fontId="6" fillId="0" borderId="10" xfId="0" applyFont="1" applyBorder="1" applyAlignment="1" applyProtection="1">
      <alignment horizontal="left"/>
      <protection hidden="1"/>
    </xf>
    <xf numFmtId="0" fontId="16" fillId="0" borderId="10" xfId="0" applyFont="1" applyBorder="1" applyAlignment="1" applyProtection="1">
      <alignment horizontal="right"/>
      <protection hidden="1"/>
    </xf>
    <xf numFmtId="0" fontId="22" fillId="3" borderId="0" xfId="0" applyFont="1" applyFill="1" applyBorder="1" applyAlignment="1" applyProtection="1">
      <alignment horizontal="center" wrapText="1"/>
      <protection hidden="1"/>
    </xf>
    <xf numFmtId="0" fontId="7" fillId="0" borderId="29" xfId="0" applyFont="1" applyBorder="1" applyAlignment="1" applyProtection="1">
      <alignment horizontal="left"/>
      <protection locked="0"/>
    </xf>
    <xf numFmtId="0" fontId="7" fillId="0" borderId="16" xfId="0" applyFont="1" applyBorder="1" applyAlignment="1" applyProtection="1">
      <alignment horizontal="left"/>
      <protection locked="0"/>
    </xf>
    <xf numFmtId="0" fontId="16" fillId="0" borderId="0" xfId="0" applyFont="1" applyBorder="1" applyAlignment="1" applyProtection="1">
      <alignment horizontal="left" vertical="top" wrapText="1" indent="1"/>
      <protection hidden="1"/>
    </xf>
    <xf numFmtId="165" fontId="7" fillId="0" borderId="24" xfId="0" applyNumberFormat="1" applyFont="1" applyBorder="1" applyAlignment="1" applyProtection="1">
      <alignment horizontal="justify" vertical="top"/>
      <protection locked="0"/>
    </xf>
    <xf numFmtId="165" fontId="7" fillId="0" borderId="0" xfId="0" applyNumberFormat="1" applyFont="1" applyBorder="1" applyAlignment="1" applyProtection="1">
      <alignment horizontal="justify" vertical="top"/>
      <protection locked="0"/>
    </xf>
    <xf numFmtId="0" fontId="12" fillId="0" borderId="26" xfId="0" applyFont="1" applyBorder="1" applyAlignment="1" applyProtection="1">
      <alignment horizontal="left" vertical="top" wrapText="1" indent="2"/>
      <protection hidden="1"/>
    </xf>
    <xf numFmtId="0" fontId="12" fillId="0" borderId="27" xfId="0" applyFont="1" applyBorder="1" applyAlignment="1" applyProtection="1">
      <alignment horizontal="left" vertical="top" wrapText="1" indent="2"/>
      <protection hidden="1"/>
    </xf>
    <xf numFmtId="0" fontId="0" fillId="0" borderId="31" xfId="0" applyBorder="1" applyAlignment="1" applyProtection="1">
      <alignment horizontal="left" vertical="top" wrapText="1" indent="1"/>
      <protection hidden="1"/>
    </xf>
  </cellXfs>
  <cellStyles count="4">
    <cellStyle name="Hipervínculo" xfId="3" builtinId="8"/>
    <cellStyle name="Normal" xfId="0" builtinId="0"/>
    <cellStyle name="Normal 2" xfId="2"/>
    <cellStyle name="Porcentaje" xfId="1" builtinId="5"/>
  </cellStyles>
  <dxfs count="10">
    <dxf>
      <font>
        <b/>
        <i val="0"/>
      </font>
      <fill>
        <patternFill>
          <bgColor theme="7"/>
        </patternFill>
      </fill>
    </dxf>
    <dxf>
      <font>
        <b/>
        <i val="0"/>
        <color theme="0"/>
      </font>
      <fill>
        <patternFill>
          <bgColor rgb="FF0070C0"/>
        </patternFill>
      </fill>
    </dxf>
    <dxf>
      <font>
        <b/>
        <i val="0"/>
        <color theme="0"/>
      </font>
      <fill>
        <patternFill>
          <bgColor rgb="FF0070C0"/>
        </patternFill>
      </fill>
    </dxf>
    <dxf>
      <font>
        <b/>
        <i val="0"/>
        <color theme="0"/>
      </font>
      <fill>
        <patternFill>
          <bgColor rgb="FF0070C0"/>
        </patternFill>
      </fill>
    </dxf>
    <dxf>
      <font>
        <b/>
        <i val="0"/>
        <color theme="0"/>
      </font>
      <fill>
        <patternFill>
          <bgColor rgb="FF0070C0"/>
        </patternFill>
      </fill>
    </dxf>
    <dxf>
      <font>
        <b/>
        <i val="0"/>
      </font>
      <fill>
        <patternFill>
          <bgColor theme="7"/>
        </patternFill>
      </fill>
    </dxf>
    <dxf>
      <font>
        <b/>
        <i val="0"/>
        <color theme="0"/>
      </font>
      <fill>
        <patternFill>
          <bgColor rgb="FF0070C0"/>
        </patternFill>
      </fill>
    </dxf>
    <dxf>
      <font>
        <b/>
        <i val="0"/>
        <color theme="0"/>
      </font>
      <fill>
        <patternFill>
          <bgColor rgb="FF0070C0"/>
        </patternFill>
      </fill>
    </dxf>
    <dxf>
      <font>
        <b/>
        <i val="0"/>
        <color theme="0"/>
      </font>
      <fill>
        <patternFill>
          <bgColor rgb="FF0070C0"/>
        </patternFill>
      </fill>
    </dxf>
    <dxf>
      <font>
        <b/>
        <i val="0"/>
        <color theme="0"/>
      </font>
      <fill>
        <patternFill>
          <bgColor rgb="FF0070C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absolute">
    <xdr:from>
      <xdr:col>9</xdr:col>
      <xdr:colOff>132522</xdr:colOff>
      <xdr:row>1</xdr:row>
      <xdr:rowOff>16566</xdr:rowOff>
    </xdr:from>
    <xdr:to>
      <xdr:col>9</xdr:col>
      <xdr:colOff>588066</xdr:colOff>
      <xdr:row>1</xdr:row>
      <xdr:rowOff>198783</xdr:rowOff>
    </xdr:to>
    <xdr:sp macro="[0]!PrintSample" textlink="">
      <xdr:nvSpPr>
        <xdr:cNvPr id="2" name="Rectángulo redondeado 1"/>
        <xdr:cNvSpPr/>
      </xdr:nvSpPr>
      <xdr:spPr>
        <a:xfrm>
          <a:off x="5872370" y="157370"/>
          <a:ext cx="455544" cy="182217"/>
        </a:xfrm>
        <a:prstGeom prst="roundRect">
          <a:avLst/>
        </a:prstGeom>
        <a:solidFill>
          <a:schemeClr val="tx1"/>
        </a:solidFill>
        <a:ln>
          <a:noFill/>
        </a:ln>
      </xdr:spPr>
      <xdr:style>
        <a:lnRef idx="2">
          <a:schemeClr val="accent1"/>
        </a:lnRef>
        <a:fillRef idx="1">
          <a:schemeClr val="lt1"/>
        </a:fillRef>
        <a:effectRef idx="0">
          <a:schemeClr val="accent1"/>
        </a:effectRef>
        <a:fontRef idx="minor">
          <a:schemeClr val="dk1"/>
        </a:fontRef>
      </xdr:style>
      <xdr:txBody>
        <a:bodyPr vertOverflow="clip" horzOverflow="clip" lIns="0" tIns="0" rIns="0" bIns="0" rtlCol="0" anchor="ctr"/>
        <a:lstStyle/>
        <a:p>
          <a:pPr algn="ctr"/>
          <a:r>
            <a:rPr lang="en-US" sz="800">
              <a:solidFill>
                <a:schemeClr val="bg1"/>
              </a:solidFill>
            </a:rPr>
            <a:t>Print</a:t>
          </a:r>
        </a:p>
      </xdr:txBody>
    </xdr:sp>
    <xdr:clientData fLocksWithSheet="0"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9</xdr:col>
      <xdr:colOff>132522</xdr:colOff>
      <xdr:row>1</xdr:row>
      <xdr:rowOff>16566</xdr:rowOff>
    </xdr:from>
    <xdr:to>
      <xdr:col>9</xdr:col>
      <xdr:colOff>588066</xdr:colOff>
      <xdr:row>1</xdr:row>
      <xdr:rowOff>198783</xdr:rowOff>
    </xdr:to>
    <xdr:sp macro="[0]!PrintSample" textlink="">
      <xdr:nvSpPr>
        <xdr:cNvPr id="2" name="Rectángulo redondeado 1"/>
        <xdr:cNvSpPr/>
      </xdr:nvSpPr>
      <xdr:spPr>
        <a:xfrm>
          <a:off x="5866572" y="159441"/>
          <a:ext cx="455544" cy="182217"/>
        </a:xfrm>
        <a:prstGeom prst="roundRect">
          <a:avLst/>
        </a:prstGeom>
        <a:solidFill>
          <a:schemeClr val="tx1"/>
        </a:solidFill>
        <a:ln>
          <a:noFill/>
        </a:ln>
      </xdr:spPr>
      <xdr:style>
        <a:lnRef idx="2">
          <a:schemeClr val="accent1"/>
        </a:lnRef>
        <a:fillRef idx="1">
          <a:schemeClr val="lt1"/>
        </a:fillRef>
        <a:effectRef idx="0">
          <a:schemeClr val="accent1"/>
        </a:effectRef>
        <a:fontRef idx="minor">
          <a:schemeClr val="dk1"/>
        </a:fontRef>
      </xdr:style>
      <xdr:txBody>
        <a:bodyPr vertOverflow="clip" horzOverflow="clip" lIns="0" tIns="0" rIns="0" bIns="0" rtlCol="0" anchor="ctr"/>
        <a:lstStyle/>
        <a:p>
          <a:pPr algn="ctr"/>
          <a:r>
            <a:rPr lang="en-US" sz="800">
              <a:solidFill>
                <a:schemeClr val="bg1"/>
              </a:solidFill>
            </a:rPr>
            <a:t>Imprimir</a:t>
          </a:r>
        </a:p>
      </xdr:txBody>
    </xdr:sp>
    <xdr:clientData fLocksWithSheet="0" fPrintsWithSheet="0"/>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github.com/reatcas/me-box" TargetMode="External"/><Relationship Id="rId1" Type="http://schemas.openxmlformats.org/officeDocument/2006/relationships/hyperlink" Target="https://github.com/reatcas/me-box"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github.com/reatcas/me-box" TargetMode="External"/><Relationship Id="rId1" Type="http://schemas.openxmlformats.org/officeDocument/2006/relationships/hyperlink" Target="https://github.com/reatcas/me-box" TargetMode="Externa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github.com/reatcas/me-box" TargetMode="External"/><Relationship Id="rId1" Type="http://schemas.openxmlformats.org/officeDocument/2006/relationships/hyperlink" Target="http://unlicense.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S111"/>
  <sheetViews>
    <sheetView showGridLines="0" view="pageLayout" zoomScale="115" zoomScaleNormal="100" zoomScalePageLayoutView="115" workbookViewId="0">
      <selection activeCell="C6" sqref="C6:J6"/>
    </sheetView>
  </sheetViews>
  <sheetFormatPr baseColWidth="10" defaultRowHeight="11.25" x14ac:dyDescent="0.2"/>
  <cols>
    <col min="1" max="1" width="2.42578125" style="2" customWidth="1"/>
    <col min="2" max="2" width="16.28515625" style="2" customWidth="1"/>
    <col min="3" max="10" width="8.7109375" style="2" customWidth="1"/>
    <col min="11" max="11" width="7.7109375" style="2" customWidth="1"/>
    <col min="12" max="19" width="6.7109375" style="2" customWidth="1"/>
    <col min="20" max="16384" width="11.42578125" style="2"/>
  </cols>
  <sheetData>
    <row r="1" spans="1:19" x14ac:dyDescent="0.2">
      <c r="A1" s="1" t="s">
        <v>0</v>
      </c>
    </row>
    <row r="2" spans="1:19" ht="19.5" thickBot="1" x14ac:dyDescent="0.35">
      <c r="B2" s="82" t="s">
        <v>21</v>
      </c>
      <c r="C2" s="82"/>
      <c r="D2" s="82"/>
      <c r="E2" s="82"/>
      <c r="F2" s="82"/>
      <c r="G2" s="82"/>
      <c r="H2" s="83"/>
      <c r="I2" s="83"/>
      <c r="J2" s="83"/>
    </row>
    <row r="3" spans="1:19" ht="15.75" customHeight="1" x14ac:dyDescent="0.2">
      <c r="B3" s="3"/>
      <c r="C3" s="4"/>
      <c r="D3" s="4"/>
      <c r="E3" s="4"/>
      <c r="F3" s="4"/>
      <c r="G3" s="4"/>
      <c r="H3" s="4"/>
      <c r="I3" s="4"/>
      <c r="J3" s="4"/>
      <c r="K3" s="5"/>
      <c r="L3" s="6"/>
      <c r="O3" s="7"/>
      <c r="R3" s="8"/>
      <c r="S3" s="9"/>
    </row>
    <row r="4" spans="1:19" ht="15.75" customHeight="1" x14ac:dyDescent="0.2">
      <c r="B4" s="36" t="s">
        <v>2</v>
      </c>
      <c r="C4" s="80"/>
      <c r="D4" s="81"/>
      <c r="E4" s="81"/>
      <c r="F4" s="81"/>
      <c r="G4" s="81"/>
      <c r="H4" s="81"/>
      <c r="I4" s="81"/>
      <c r="J4" s="81"/>
      <c r="K4" s="5"/>
      <c r="L4" s="6"/>
      <c r="O4" s="7"/>
      <c r="R4" s="8"/>
      <c r="S4" s="9"/>
    </row>
    <row r="5" spans="1:19" ht="15.75" customHeight="1" x14ac:dyDescent="0.2">
      <c r="B5" s="36" t="s">
        <v>16</v>
      </c>
      <c r="C5" s="85"/>
      <c r="D5" s="86"/>
      <c r="E5" s="86"/>
      <c r="F5" s="86"/>
      <c r="G5" s="86"/>
      <c r="H5" s="86"/>
      <c r="I5" s="86"/>
      <c r="J5" s="86"/>
      <c r="K5" s="5"/>
      <c r="L5" s="6"/>
      <c r="O5" s="7"/>
      <c r="R5" s="8"/>
      <c r="S5" s="9"/>
    </row>
    <row r="6" spans="1:19" ht="15.75" customHeight="1" x14ac:dyDescent="0.2">
      <c r="B6" s="36" t="s">
        <v>17</v>
      </c>
      <c r="C6" s="85"/>
      <c r="D6" s="86"/>
      <c r="E6" s="86"/>
      <c r="F6" s="86"/>
      <c r="G6" s="86"/>
      <c r="H6" s="86"/>
      <c r="I6" s="86"/>
      <c r="J6" s="86"/>
      <c r="K6" s="5"/>
      <c r="L6" s="6"/>
      <c r="O6" s="7"/>
      <c r="R6" s="8"/>
      <c r="S6" s="9"/>
    </row>
    <row r="7" spans="1:19" ht="15.75" customHeight="1" x14ac:dyDescent="0.2">
      <c r="B7" s="38" t="s">
        <v>1</v>
      </c>
      <c r="C7" s="78">
        <f ca="1">TODAY()</f>
        <v>43566</v>
      </c>
      <c r="D7" s="79"/>
      <c r="E7" s="79"/>
      <c r="F7" s="79"/>
      <c r="G7" s="79"/>
      <c r="H7" s="79"/>
      <c r="I7" s="79"/>
      <c r="J7" s="79"/>
      <c r="K7" s="5"/>
      <c r="L7" s="6"/>
      <c r="O7" s="7"/>
      <c r="R7" s="8"/>
      <c r="S7" s="9"/>
    </row>
    <row r="8" spans="1:19" ht="15.75" customHeight="1" x14ac:dyDescent="0.2">
      <c r="B8" s="38" t="s">
        <v>15</v>
      </c>
      <c r="C8" s="78"/>
      <c r="D8" s="79"/>
      <c r="E8" s="79"/>
      <c r="F8" s="79"/>
      <c r="G8" s="79"/>
      <c r="H8" s="79"/>
      <c r="I8" s="79"/>
      <c r="J8" s="79"/>
      <c r="K8" s="5"/>
      <c r="L8" s="6"/>
      <c r="O8" s="7"/>
      <c r="R8" s="8"/>
      <c r="S8" s="9"/>
    </row>
    <row r="9" spans="1:19" ht="79.5" customHeight="1" x14ac:dyDescent="0.2">
      <c r="B9" s="39" t="s">
        <v>18</v>
      </c>
      <c r="C9" s="88"/>
      <c r="D9" s="89"/>
      <c r="E9" s="89"/>
      <c r="F9" s="89"/>
      <c r="G9" s="89"/>
      <c r="H9" s="89"/>
      <c r="I9" s="89"/>
      <c r="J9" s="89"/>
      <c r="K9" s="5"/>
      <c r="L9" s="6"/>
      <c r="O9" s="7"/>
      <c r="R9" s="8"/>
      <c r="S9" s="9"/>
    </row>
    <row r="10" spans="1:19" ht="15.75" customHeight="1" x14ac:dyDescent="0.2">
      <c r="B10" s="34"/>
      <c r="C10" s="35"/>
      <c r="D10" s="35"/>
      <c r="E10" s="35"/>
      <c r="F10" s="35"/>
      <c r="G10" s="35"/>
      <c r="H10" s="35"/>
      <c r="I10" s="40"/>
      <c r="J10" s="41"/>
    </row>
    <row r="11" spans="1:19" ht="14.25" customHeight="1" x14ac:dyDescent="0.2">
      <c r="B11" s="36" t="s">
        <v>12</v>
      </c>
      <c r="C11" s="49"/>
      <c r="D11" s="42"/>
      <c r="E11" s="42"/>
      <c r="F11" s="42"/>
      <c r="G11" s="42"/>
      <c r="H11" s="42"/>
      <c r="I11" s="41"/>
      <c r="J11" s="41"/>
    </row>
    <row r="12" spans="1:19" ht="14.25" customHeight="1" x14ac:dyDescent="0.2">
      <c r="B12" s="36" t="s">
        <v>3</v>
      </c>
      <c r="C12" s="43">
        <v>2.58</v>
      </c>
      <c r="D12" s="35"/>
      <c r="E12" s="37"/>
      <c r="F12" s="37"/>
      <c r="G12" s="36" t="s">
        <v>6</v>
      </c>
      <c r="H12" s="11" t="str">
        <f>IFERROR(ROUNDUP((((POWER(C12,2)*C13*(1-C13))/(POWER(C14,2)))/(1+((POWER(C12,2)*C13*(1-C13))/(POWER(C14,2)*C11)))),0),"ERROR")</f>
        <v>ERROR</v>
      </c>
      <c r="I12" s="12"/>
      <c r="J12" s="41"/>
    </row>
    <row r="13" spans="1:19" ht="14.25" customHeight="1" x14ac:dyDescent="0.2">
      <c r="B13" s="36" t="s">
        <v>4</v>
      </c>
      <c r="C13" s="44">
        <v>0.5</v>
      </c>
      <c r="D13" s="35"/>
      <c r="E13" s="42"/>
      <c r="F13" s="42"/>
      <c r="G13" s="42"/>
      <c r="H13" s="48"/>
      <c r="I13" s="41"/>
      <c r="J13" s="41"/>
    </row>
    <row r="14" spans="1:19" ht="14.25" customHeight="1" x14ac:dyDescent="0.2">
      <c r="B14" s="36" t="s">
        <v>5</v>
      </c>
      <c r="C14" s="45">
        <v>0.01</v>
      </c>
      <c r="D14" s="35"/>
      <c r="E14" s="35"/>
      <c r="F14" s="54"/>
      <c r="G14" s="35"/>
      <c r="H14" s="35"/>
      <c r="I14" s="40"/>
      <c r="J14" s="41"/>
    </row>
    <row r="15" spans="1:19" ht="7.5" customHeight="1" x14ac:dyDescent="0.2">
      <c r="B15" s="46"/>
      <c r="C15" s="47"/>
      <c r="D15" s="35"/>
      <c r="E15" s="42"/>
      <c r="F15" s="42"/>
      <c r="G15" s="42"/>
      <c r="H15" s="42"/>
      <c r="I15" s="42"/>
      <c r="J15" s="41"/>
    </row>
    <row r="16" spans="1:19" ht="9.75" hidden="1" customHeight="1" x14ac:dyDescent="0.2">
      <c r="B16" s="46"/>
      <c r="C16" s="55"/>
      <c r="D16" s="35"/>
      <c r="E16" s="42"/>
      <c r="F16" s="42"/>
      <c r="G16" s="42"/>
      <c r="H16" s="42"/>
      <c r="I16" s="42"/>
      <c r="J16" s="41"/>
    </row>
    <row r="17" spans="2:10" ht="9.75" hidden="1" customHeight="1" x14ac:dyDescent="0.2">
      <c r="B17" s="42"/>
      <c r="C17" s="42"/>
      <c r="D17" s="42"/>
      <c r="E17" s="42"/>
      <c r="F17" s="42"/>
      <c r="G17" s="42"/>
      <c r="H17" s="42"/>
      <c r="I17" s="42"/>
      <c r="J17" s="42"/>
    </row>
    <row r="18" spans="2:10" ht="9.75" hidden="1" customHeight="1" x14ac:dyDescent="0.2">
      <c r="B18" s="42"/>
      <c r="C18" s="42"/>
      <c r="D18" s="42"/>
      <c r="E18" s="42"/>
      <c r="F18" s="42"/>
      <c r="G18" s="42"/>
      <c r="H18" s="42"/>
      <c r="I18" s="42"/>
      <c r="J18" s="42"/>
    </row>
    <row r="19" spans="2:10" ht="9.75" hidden="1" customHeight="1" x14ac:dyDescent="0.2">
      <c r="B19" s="42"/>
      <c r="C19" s="42"/>
      <c r="D19" s="42"/>
      <c r="E19" s="42"/>
      <c r="F19" s="42"/>
      <c r="G19" s="42"/>
      <c r="H19" s="42"/>
      <c r="I19" s="42"/>
      <c r="J19" s="42"/>
    </row>
    <row r="20" spans="2:10" ht="9.75" hidden="1" customHeight="1" x14ac:dyDescent="0.2">
      <c r="B20" s="42"/>
      <c r="C20" s="42"/>
      <c r="D20" s="42"/>
      <c r="E20" s="42"/>
      <c r="F20" s="42"/>
      <c r="G20" s="42"/>
      <c r="H20" s="42"/>
      <c r="I20" s="42"/>
      <c r="J20" s="42"/>
    </row>
    <row r="21" spans="2:10" ht="9.75" hidden="1" customHeight="1" x14ac:dyDescent="0.2">
      <c r="B21" s="42"/>
      <c r="C21" s="42"/>
      <c r="D21" s="42"/>
      <c r="E21" s="42"/>
      <c r="F21" s="42"/>
      <c r="G21" s="42"/>
      <c r="H21" s="42"/>
      <c r="I21" s="42"/>
      <c r="J21" s="42"/>
    </row>
    <row r="22" spans="2:10" ht="9.75" hidden="1" customHeight="1" x14ac:dyDescent="0.2">
      <c r="B22" s="42"/>
      <c r="C22" s="42"/>
      <c r="D22" s="42"/>
      <c r="E22" s="42"/>
      <c r="F22" s="42"/>
      <c r="G22" s="42"/>
      <c r="H22" s="42"/>
      <c r="I22" s="42"/>
      <c r="J22" s="42"/>
    </row>
    <row r="23" spans="2:10" ht="9.75" hidden="1" customHeight="1" x14ac:dyDescent="0.2">
      <c r="B23" s="42"/>
      <c r="C23" s="42"/>
      <c r="D23" s="42"/>
      <c r="E23" s="42"/>
      <c r="F23" s="42"/>
      <c r="G23" s="42"/>
      <c r="H23" s="42"/>
      <c r="I23" s="42"/>
      <c r="J23" s="42"/>
    </row>
    <row r="24" spans="2:10" ht="9.75" hidden="1" customHeight="1" x14ac:dyDescent="0.2">
      <c r="B24" s="42"/>
      <c r="C24" s="42"/>
      <c r="D24" s="42"/>
      <c r="E24" s="42"/>
      <c r="F24" s="42"/>
      <c r="G24" s="42"/>
      <c r="H24" s="42"/>
      <c r="I24" s="42"/>
      <c r="J24" s="42"/>
    </row>
    <row r="25" spans="2:10" ht="9.75" hidden="1" customHeight="1" x14ac:dyDescent="0.2">
      <c r="B25" s="42"/>
      <c r="C25" s="42"/>
      <c r="D25" s="42"/>
      <c r="E25" s="42"/>
      <c r="F25" s="42"/>
      <c r="G25" s="42"/>
      <c r="H25" s="42"/>
      <c r="I25" s="42"/>
      <c r="J25" s="42"/>
    </row>
    <row r="26" spans="2:10" ht="9.75" hidden="1" customHeight="1" x14ac:dyDescent="0.2">
      <c r="B26" s="42"/>
      <c r="C26" s="42"/>
      <c r="D26" s="42"/>
      <c r="E26" s="42"/>
      <c r="F26" s="42"/>
      <c r="G26" s="42"/>
      <c r="H26" s="42"/>
      <c r="I26" s="42"/>
      <c r="J26" s="42"/>
    </row>
    <row r="27" spans="2:10" ht="9.75" hidden="1" customHeight="1" x14ac:dyDescent="0.2">
      <c r="B27" s="42"/>
      <c r="C27" s="42"/>
      <c r="D27" s="42"/>
      <c r="E27" s="42"/>
      <c r="F27" s="42"/>
      <c r="G27" s="42"/>
      <c r="H27" s="42"/>
      <c r="I27" s="42"/>
      <c r="J27" s="42"/>
    </row>
    <row r="28" spans="2:10" ht="9.75" hidden="1" customHeight="1" x14ac:dyDescent="0.2">
      <c r="B28" s="42"/>
      <c r="C28" s="42"/>
      <c r="D28" s="42"/>
      <c r="J28" s="42"/>
    </row>
    <row r="29" spans="2:10" x14ac:dyDescent="0.2">
      <c r="B29" s="42"/>
      <c r="C29" s="42"/>
      <c r="D29" s="42"/>
      <c r="J29" s="42"/>
    </row>
    <row r="49" spans="1:12" x14ac:dyDescent="0.2">
      <c r="A49" s="59"/>
      <c r="B49" s="59"/>
      <c r="C49" s="59"/>
      <c r="D49" s="59"/>
      <c r="E49" s="59"/>
      <c r="F49" s="59"/>
      <c r="G49" s="59"/>
      <c r="H49" s="59"/>
      <c r="I49" s="59"/>
      <c r="J49" s="59"/>
    </row>
    <row r="50" spans="1:12" ht="11.25" customHeight="1" x14ac:dyDescent="0.2">
      <c r="A50" s="60"/>
      <c r="B50" s="58"/>
      <c r="C50" s="58"/>
      <c r="D50" s="90" t="s">
        <v>24</v>
      </c>
      <c r="E50" s="91"/>
      <c r="F50" s="91"/>
      <c r="G50" s="91"/>
      <c r="H50" s="91"/>
      <c r="I50" s="91"/>
      <c r="J50" s="91"/>
    </row>
    <row r="51" spans="1:12" ht="17.25" customHeight="1" x14ac:dyDescent="0.2">
      <c r="A51" s="73" t="s">
        <v>22</v>
      </c>
      <c r="B51" s="73"/>
      <c r="C51" s="74"/>
      <c r="D51" s="87" t="s">
        <v>26</v>
      </c>
      <c r="E51" s="87"/>
      <c r="F51" s="87"/>
      <c r="G51" s="87"/>
      <c r="H51" s="87"/>
      <c r="I51" s="87"/>
      <c r="J51" s="87"/>
      <c r="K51" s="53"/>
    </row>
    <row r="52" spans="1:12" ht="17.25" customHeight="1" x14ac:dyDescent="0.2">
      <c r="A52" s="73"/>
      <c r="B52" s="73"/>
      <c r="C52" s="74"/>
      <c r="D52" s="87"/>
      <c r="E52" s="87"/>
      <c r="F52" s="87"/>
      <c r="G52" s="87"/>
      <c r="H52" s="87"/>
      <c r="I52" s="87"/>
      <c r="J52" s="87"/>
      <c r="K52" s="53"/>
    </row>
    <row r="53" spans="1:12" ht="17.25" customHeight="1" x14ac:dyDescent="0.2">
      <c r="A53" s="73"/>
      <c r="B53" s="73"/>
      <c r="C53" s="74"/>
      <c r="D53" s="87"/>
      <c r="E53" s="87"/>
      <c r="F53" s="87"/>
      <c r="G53" s="87"/>
      <c r="H53" s="87"/>
      <c r="I53" s="87"/>
      <c r="J53" s="87"/>
      <c r="K53" s="53"/>
    </row>
    <row r="54" spans="1:12" ht="17.25" customHeight="1" x14ac:dyDescent="0.2">
      <c r="A54" s="73"/>
      <c r="B54" s="73"/>
      <c r="C54" s="74"/>
      <c r="D54" s="87"/>
      <c r="E54" s="87"/>
      <c r="F54" s="87"/>
      <c r="G54" s="87"/>
      <c r="H54" s="87"/>
      <c r="I54" s="87"/>
      <c r="J54" s="87"/>
      <c r="K54" s="53"/>
    </row>
    <row r="55" spans="1:12" ht="17.25" customHeight="1" x14ac:dyDescent="0.2">
      <c r="A55" s="73"/>
      <c r="B55" s="73"/>
      <c r="C55" s="74"/>
      <c r="D55" s="87"/>
      <c r="E55" s="87"/>
      <c r="F55" s="87"/>
      <c r="G55" s="87"/>
      <c r="H55" s="87"/>
      <c r="I55" s="87"/>
      <c r="J55" s="87"/>
      <c r="K55" s="53"/>
    </row>
    <row r="56" spans="1:12" ht="17.25" customHeight="1" x14ac:dyDescent="0.2">
      <c r="A56" s="73"/>
      <c r="B56" s="73"/>
      <c r="C56" s="74"/>
      <c r="D56" s="87"/>
      <c r="E56" s="87"/>
      <c r="F56" s="87"/>
      <c r="G56" s="87"/>
      <c r="H56" s="87"/>
      <c r="I56" s="87"/>
      <c r="J56" s="87"/>
      <c r="K56" s="53"/>
    </row>
    <row r="57" spans="1:12" ht="8.25" customHeight="1" x14ac:dyDescent="0.2">
      <c r="A57" s="13"/>
      <c r="B57" s="13"/>
      <c r="C57" s="13"/>
      <c r="D57" s="14"/>
      <c r="E57" s="15"/>
      <c r="F57" s="15"/>
      <c r="G57" s="15"/>
      <c r="H57" s="15"/>
      <c r="I57" s="15"/>
      <c r="J57" s="15"/>
      <c r="K57" s="15"/>
    </row>
    <row r="58" spans="1:12" ht="8.25" customHeight="1" x14ac:dyDescent="0.2">
      <c r="A58" s="13"/>
      <c r="B58" s="13"/>
      <c r="C58" s="13"/>
      <c r="D58" s="14"/>
      <c r="E58" s="15"/>
      <c r="F58" s="15"/>
      <c r="G58" s="15"/>
      <c r="H58" s="15"/>
      <c r="I58" s="15"/>
      <c r="J58" s="15"/>
      <c r="K58" s="15"/>
    </row>
    <row r="59" spans="1:12" ht="24" customHeight="1" x14ac:dyDescent="0.2">
      <c r="A59" s="84" t="s">
        <v>19</v>
      </c>
      <c r="B59" s="84"/>
      <c r="C59" s="84"/>
      <c r="D59" s="84"/>
      <c r="E59" s="84"/>
      <c r="F59" s="84"/>
      <c r="G59" s="84"/>
      <c r="H59" s="84"/>
      <c r="I59" s="84"/>
      <c r="J59" s="84"/>
      <c r="K59" s="50"/>
    </row>
    <row r="60" spans="1:12" ht="11.25" customHeight="1" x14ac:dyDescent="0.2">
      <c r="A60" s="76" t="s">
        <v>11</v>
      </c>
      <c r="B60" s="76"/>
      <c r="C60" s="76"/>
      <c r="D60" s="76"/>
      <c r="E60" s="76"/>
      <c r="F60" s="76"/>
      <c r="G60" s="76"/>
      <c r="H60" s="76"/>
      <c r="I60" s="76"/>
      <c r="J60" s="76"/>
      <c r="K60" s="51"/>
      <c r="L60" s="52"/>
    </row>
    <row r="61" spans="1:12" ht="8.25" customHeight="1" x14ac:dyDescent="0.2">
      <c r="A61" s="13"/>
      <c r="B61" s="13"/>
      <c r="C61" s="13"/>
      <c r="D61" s="14"/>
      <c r="E61" s="15"/>
      <c r="F61" s="15"/>
      <c r="G61" s="15"/>
      <c r="H61" s="15"/>
      <c r="I61" s="15"/>
      <c r="J61" s="15"/>
      <c r="K61" s="15"/>
    </row>
    <row r="62" spans="1:12" ht="8.25" customHeight="1" x14ac:dyDescent="0.2">
      <c r="A62" s="13"/>
      <c r="B62" s="13"/>
      <c r="C62" s="13"/>
      <c r="D62" s="14"/>
      <c r="E62" s="15"/>
      <c r="F62" s="15"/>
      <c r="G62" s="15"/>
      <c r="H62" s="15"/>
      <c r="I62" s="15"/>
      <c r="J62" s="15"/>
      <c r="K62" s="15"/>
    </row>
    <row r="63" spans="1:12" ht="8.25" customHeight="1" x14ac:dyDescent="0.2">
      <c r="A63" s="13"/>
      <c r="B63" s="13"/>
      <c r="C63" s="13"/>
      <c r="D63" s="14"/>
      <c r="E63" s="15"/>
      <c r="F63" s="15"/>
      <c r="G63" s="15"/>
      <c r="H63" s="15"/>
      <c r="I63" s="15"/>
      <c r="J63" s="15"/>
      <c r="K63" s="15"/>
    </row>
    <row r="64" spans="1:12" x14ac:dyDescent="0.2">
      <c r="A64" s="13"/>
      <c r="B64" s="13"/>
      <c r="C64" s="13"/>
      <c r="D64" s="14"/>
      <c r="E64" s="15"/>
      <c r="F64" s="15"/>
      <c r="G64" s="15"/>
      <c r="H64" s="15"/>
      <c r="I64" s="15"/>
      <c r="J64" s="15"/>
      <c r="K64" s="15"/>
    </row>
    <row r="65" spans="2:11" x14ac:dyDescent="0.2">
      <c r="K65" s="16"/>
    </row>
    <row r="66" spans="2:11" ht="19.5" thickBot="1" x14ac:dyDescent="0.35">
      <c r="B66" s="82" t="s">
        <v>25</v>
      </c>
      <c r="C66" s="82"/>
      <c r="D66" s="82"/>
      <c r="E66" s="82"/>
      <c r="F66" s="82"/>
      <c r="G66" s="82"/>
      <c r="H66" s="82"/>
      <c r="I66" s="82"/>
      <c r="J66" s="82"/>
      <c r="K66" s="16"/>
    </row>
    <row r="67" spans="2:11" ht="12.75" x14ac:dyDescent="0.2">
      <c r="B67" s="10"/>
      <c r="C67" s="10"/>
      <c r="D67" s="10"/>
      <c r="E67" s="10"/>
      <c r="F67" s="10"/>
      <c r="G67" s="10"/>
      <c r="H67" s="10"/>
      <c r="I67" s="10"/>
      <c r="J67" s="10"/>
      <c r="K67" s="16"/>
    </row>
    <row r="68" spans="2:11" ht="143.25" customHeight="1" x14ac:dyDescent="0.2">
      <c r="B68" s="72" t="s">
        <v>13</v>
      </c>
      <c r="C68" s="72"/>
      <c r="D68" s="72"/>
      <c r="E68" s="72"/>
      <c r="F68" s="72"/>
      <c r="G68" s="72"/>
      <c r="H68" s="72"/>
      <c r="I68" s="72"/>
      <c r="J68" s="72"/>
      <c r="K68" s="16"/>
    </row>
    <row r="69" spans="2:11" ht="12" thickBot="1" x14ac:dyDescent="0.25">
      <c r="K69" s="16"/>
    </row>
    <row r="70" spans="2:11" x14ac:dyDescent="0.2">
      <c r="B70" s="65" t="s">
        <v>7</v>
      </c>
      <c r="C70" s="17" t="s">
        <v>8</v>
      </c>
      <c r="D70" s="18"/>
      <c r="E70" s="19"/>
      <c r="F70" s="20">
        <v>1.96</v>
      </c>
      <c r="G70" s="21" t="s">
        <v>9</v>
      </c>
      <c r="H70" s="18"/>
      <c r="I70" s="21"/>
      <c r="J70" s="22">
        <v>2.58</v>
      </c>
      <c r="K70" s="16"/>
    </row>
    <row r="71" spans="2:11" ht="15" customHeight="1" x14ac:dyDescent="0.2">
      <c r="B71" s="66"/>
      <c r="C71" s="68" t="s">
        <v>10</v>
      </c>
      <c r="D71" s="69"/>
      <c r="E71" s="69"/>
      <c r="F71" s="70"/>
      <c r="G71" s="68" t="s">
        <v>10</v>
      </c>
      <c r="H71" s="69"/>
      <c r="I71" s="69"/>
      <c r="J71" s="71"/>
      <c r="K71" s="16"/>
    </row>
    <row r="72" spans="2:11" ht="10.5" customHeight="1" thickBot="1" x14ac:dyDescent="0.25">
      <c r="B72" s="67"/>
      <c r="C72" s="23">
        <v>0.05</v>
      </c>
      <c r="D72" s="23">
        <v>3.5000000000000003E-2</v>
      </c>
      <c r="E72" s="23">
        <v>2.5000000000000001E-2</v>
      </c>
      <c r="F72" s="23">
        <v>0.01</v>
      </c>
      <c r="G72" s="23">
        <v>0.05</v>
      </c>
      <c r="H72" s="23">
        <v>3.5000000000000003E-2</v>
      </c>
      <c r="I72" s="23">
        <v>2.5000000000000001E-2</v>
      </c>
      <c r="J72" s="24">
        <v>0.01</v>
      </c>
      <c r="K72" s="16"/>
    </row>
    <row r="73" spans="2:11" ht="10.5" customHeight="1" thickTop="1" x14ac:dyDescent="0.2">
      <c r="B73" s="25">
        <v>10</v>
      </c>
      <c r="C73" s="26">
        <f t="shared" ref="C73:F92" si="0">ROUNDUP((((POWER($F$70,2)*0.5*(1-0.5))/(POWER(C$72,2)))/(1+((POWER($F$70,2)*0.5*(1-0.5))/(POWER(C$72,2)*$B73)))),0)</f>
        <v>10</v>
      </c>
      <c r="D73" s="26">
        <f t="shared" si="0"/>
        <v>10</v>
      </c>
      <c r="E73" s="26">
        <f t="shared" si="0"/>
        <v>10</v>
      </c>
      <c r="F73" s="26">
        <f t="shared" si="0"/>
        <v>10</v>
      </c>
      <c r="G73" s="26">
        <f t="shared" ref="G73:J92" si="1">ROUNDUP((((POWER($J$70,2)*0.5*(1-0.5))/(POWER(G$72,2)))/(1+((POWER($J$70,2)*0.5*(1-0.5))/(POWER(G$72,2)*$B73)))),0)</f>
        <v>10</v>
      </c>
      <c r="H73" s="26">
        <f t="shared" si="1"/>
        <v>10</v>
      </c>
      <c r="I73" s="26">
        <f t="shared" si="1"/>
        <v>10</v>
      </c>
      <c r="J73" s="27">
        <f t="shared" si="1"/>
        <v>10</v>
      </c>
      <c r="K73" s="16"/>
    </row>
    <row r="74" spans="2:11" ht="10.5" customHeight="1" x14ac:dyDescent="0.2">
      <c r="B74" s="25">
        <v>20</v>
      </c>
      <c r="C74" s="26">
        <f t="shared" si="0"/>
        <v>20</v>
      </c>
      <c r="D74" s="26">
        <f t="shared" si="0"/>
        <v>20</v>
      </c>
      <c r="E74" s="26">
        <f t="shared" si="0"/>
        <v>20</v>
      </c>
      <c r="F74" s="26">
        <f t="shared" si="0"/>
        <v>20</v>
      </c>
      <c r="G74" s="26">
        <f t="shared" si="1"/>
        <v>20</v>
      </c>
      <c r="H74" s="26">
        <f t="shared" si="1"/>
        <v>20</v>
      </c>
      <c r="I74" s="26">
        <f t="shared" si="1"/>
        <v>20</v>
      </c>
      <c r="J74" s="27">
        <f t="shared" si="1"/>
        <v>20</v>
      </c>
      <c r="K74" s="16"/>
    </row>
    <row r="75" spans="2:11" ht="10.5" customHeight="1" x14ac:dyDescent="0.2">
      <c r="B75" s="25">
        <v>30</v>
      </c>
      <c r="C75" s="26">
        <f t="shared" si="0"/>
        <v>28</v>
      </c>
      <c r="D75" s="26">
        <f t="shared" si="0"/>
        <v>29</v>
      </c>
      <c r="E75" s="26">
        <f t="shared" si="0"/>
        <v>30</v>
      </c>
      <c r="F75" s="26">
        <f t="shared" si="0"/>
        <v>30</v>
      </c>
      <c r="G75" s="26">
        <f t="shared" si="1"/>
        <v>29</v>
      </c>
      <c r="H75" s="26">
        <f t="shared" si="1"/>
        <v>30</v>
      </c>
      <c r="I75" s="26">
        <f t="shared" si="1"/>
        <v>30</v>
      </c>
      <c r="J75" s="27">
        <f t="shared" si="1"/>
        <v>30</v>
      </c>
    </row>
    <row r="76" spans="2:11" ht="10.5" customHeight="1" x14ac:dyDescent="0.2">
      <c r="B76" s="25">
        <v>50</v>
      </c>
      <c r="C76" s="26">
        <f t="shared" si="0"/>
        <v>45</v>
      </c>
      <c r="D76" s="26">
        <f t="shared" si="0"/>
        <v>48</v>
      </c>
      <c r="E76" s="26">
        <f t="shared" si="0"/>
        <v>49</v>
      </c>
      <c r="F76" s="26">
        <f t="shared" si="0"/>
        <v>50</v>
      </c>
      <c r="G76" s="26">
        <f t="shared" si="1"/>
        <v>47</v>
      </c>
      <c r="H76" s="26">
        <f t="shared" si="1"/>
        <v>49</v>
      </c>
      <c r="I76" s="26">
        <f t="shared" si="1"/>
        <v>50</v>
      </c>
      <c r="J76" s="27">
        <f t="shared" si="1"/>
        <v>50</v>
      </c>
    </row>
    <row r="77" spans="2:11" ht="10.5" customHeight="1" x14ac:dyDescent="0.2">
      <c r="B77" s="28">
        <v>75</v>
      </c>
      <c r="C77" s="29">
        <f t="shared" si="0"/>
        <v>63</v>
      </c>
      <c r="D77" s="29">
        <f t="shared" si="0"/>
        <v>69</v>
      </c>
      <c r="E77" s="29">
        <f t="shared" si="0"/>
        <v>72</v>
      </c>
      <c r="F77" s="29">
        <f t="shared" si="0"/>
        <v>75</v>
      </c>
      <c r="G77" s="29">
        <f t="shared" si="1"/>
        <v>68</v>
      </c>
      <c r="H77" s="29">
        <f t="shared" si="1"/>
        <v>72</v>
      </c>
      <c r="I77" s="29">
        <f t="shared" si="1"/>
        <v>73</v>
      </c>
      <c r="J77" s="30">
        <f t="shared" si="1"/>
        <v>75</v>
      </c>
    </row>
    <row r="78" spans="2:11" ht="10.5" customHeight="1" x14ac:dyDescent="0.2">
      <c r="B78" s="25">
        <v>100</v>
      </c>
      <c r="C78" s="26">
        <f t="shared" si="0"/>
        <v>80</v>
      </c>
      <c r="D78" s="26">
        <f t="shared" si="0"/>
        <v>89</v>
      </c>
      <c r="E78" s="26">
        <f t="shared" si="0"/>
        <v>94</v>
      </c>
      <c r="F78" s="26">
        <f t="shared" si="0"/>
        <v>99</v>
      </c>
      <c r="G78" s="26">
        <f t="shared" si="1"/>
        <v>87</v>
      </c>
      <c r="H78" s="26">
        <f t="shared" si="1"/>
        <v>94</v>
      </c>
      <c r="I78" s="26">
        <f t="shared" si="1"/>
        <v>97</v>
      </c>
      <c r="J78" s="27">
        <f t="shared" si="1"/>
        <v>100</v>
      </c>
    </row>
    <row r="79" spans="2:11" ht="10.5" customHeight="1" x14ac:dyDescent="0.2">
      <c r="B79" s="25">
        <v>150</v>
      </c>
      <c r="C79" s="26">
        <f t="shared" si="0"/>
        <v>108</v>
      </c>
      <c r="D79" s="26">
        <f t="shared" si="0"/>
        <v>126</v>
      </c>
      <c r="E79" s="26">
        <f t="shared" si="0"/>
        <v>137</v>
      </c>
      <c r="F79" s="26">
        <f t="shared" si="0"/>
        <v>148</v>
      </c>
      <c r="G79" s="26">
        <f t="shared" si="1"/>
        <v>123</v>
      </c>
      <c r="H79" s="26">
        <f t="shared" si="1"/>
        <v>136</v>
      </c>
      <c r="I79" s="26">
        <f t="shared" si="1"/>
        <v>143</v>
      </c>
      <c r="J79" s="27">
        <f t="shared" si="1"/>
        <v>149</v>
      </c>
    </row>
    <row r="80" spans="2:11" ht="10.5" customHeight="1" x14ac:dyDescent="0.2">
      <c r="B80" s="25">
        <v>200</v>
      </c>
      <c r="C80" s="26">
        <f t="shared" si="0"/>
        <v>132</v>
      </c>
      <c r="D80" s="26">
        <f t="shared" si="0"/>
        <v>160</v>
      </c>
      <c r="E80" s="26">
        <f t="shared" si="0"/>
        <v>177</v>
      </c>
      <c r="F80" s="26">
        <f t="shared" si="0"/>
        <v>196</v>
      </c>
      <c r="G80" s="26">
        <f t="shared" si="1"/>
        <v>154</v>
      </c>
      <c r="H80" s="26">
        <f t="shared" si="1"/>
        <v>175</v>
      </c>
      <c r="I80" s="26">
        <f t="shared" si="1"/>
        <v>187</v>
      </c>
      <c r="J80" s="27">
        <f t="shared" si="1"/>
        <v>198</v>
      </c>
    </row>
    <row r="81" spans="2:10" ht="10.5" customHeight="1" x14ac:dyDescent="0.2">
      <c r="B81" s="25">
        <v>250</v>
      </c>
      <c r="C81" s="26">
        <f t="shared" si="0"/>
        <v>152</v>
      </c>
      <c r="D81" s="26">
        <f t="shared" si="0"/>
        <v>190</v>
      </c>
      <c r="E81" s="26">
        <f t="shared" si="0"/>
        <v>216</v>
      </c>
      <c r="F81" s="26">
        <f t="shared" si="0"/>
        <v>244</v>
      </c>
      <c r="G81" s="26">
        <f t="shared" si="1"/>
        <v>182</v>
      </c>
      <c r="H81" s="26">
        <f t="shared" si="1"/>
        <v>212</v>
      </c>
      <c r="I81" s="26">
        <f t="shared" si="1"/>
        <v>229</v>
      </c>
      <c r="J81" s="27">
        <f t="shared" si="1"/>
        <v>247</v>
      </c>
    </row>
    <row r="82" spans="2:10" ht="10.5" customHeight="1" x14ac:dyDescent="0.2">
      <c r="B82" s="28">
        <v>300</v>
      </c>
      <c r="C82" s="29">
        <f t="shared" si="0"/>
        <v>169</v>
      </c>
      <c r="D82" s="29">
        <f t="shared" si="0"/>
        <v>217</v>
      </c>
      <c r="E82" s="29">
        <f t="shared" si="0"/>
        <v>251</v>
      </c>
      <c r="F82" s="29">
        <f t="shared" si="0"/>
        <v>291</v>
      </c>
      <c r="G82" s="29">
        <f t="shared" si="1"/>
        <v>207</v>
      </c>
      <c r="H82" s="29">
        <f t="shared" si="1"/>
        <v>246</v>
      </c>
      <c r="I82" s="29">
        <f t="shared" si="1"/>
        <v>270</v>
      </c>
      <c r="J82" s="30">
        <f t="shared" si="1"/>
        <v>295</v>
      </c>
    </row>
    <row r="83" spans="2:10" ht="10.5" customHeight="1" x14ac:dyDescent="0.2">
      <c r="B83" s="25">
        <v>400</v>
      </c>
      <c r="C83" s="26">
        <f t="shared" si="0"/>
        <v>196</v>
      </c>
      <c r="D83" s="26">
        <f t="shared" si="0"/>
        <v>265</v>
      </c>
      <c r="E83" s="26">
        <f t="shared" si="0"/>
        <v>318</v>
      </c>
      <c r="F83" s="26">
        <f t="shared" si="0"/>
        <v>385</v>
      </c>
      <c r="G83" s="26">
        <f t="shared" si="1"/>
        <v>250</v>
      </c>
      <c r="H83" s="26">
        <f t="shared" si="1"/>
        <v>310</v>
      </c>
      <c r="I83" s="26">
        <f t="shared" si="1"/>
        <v>348</v>
      </c>
      <c r="J83" s="27">
        <f t="shared" si="1"/>
        <v>391</v>
      </c>
    </row>
    <row r="84" spans="2:10" ht="10.5" customHeight="1" x14ac:dyDescent="0.2">
      <c r="B84" s="25">
        <v>500</v>
      </c>
      <c r="C84" s="26">
        <f t="shared" si="0"/>
        <v>218</v>
      </c>
      <c r="D84" s="26">
        <f t="shared" si="0"/>
        <v>306</v>
      </c>
      <c r="E84" s="26">
        <f t="shared" si="0"/>
        <v>378</v>
      </c>
      <c r="F84" s="26">
        <f t="shared" si="0"/>
        <v>476</v>
      </c>
      <c r="G84" s="26">
        <f t="shared" si="1"/>
        <v>286</v>
      </c>
      <c r="H84" s="26">
        <f t="shared" si="1"/>
        <v>366</v>
      </c>
      <c r="I84" s="26">
        <f t="shared" si="1"/>
        <v>421</v>
      </c>
      <c r="J84" s="27">
        <f t="shared" si="1"/>
        <v>486</v>
      </c>
    </row>
    <row r="85" spans="2:10" ht="10.5" customHeight="1" x14ac:dyDescent="0.2">
      <c r="B85" s="25">
        <v>600</v>
      </c>
      <c r="C85" s="26">
        <f t="shared" si="0"/>
        <v>235</v>
      </c>
      <c r="D85" s="26">
        <f t="shared" si="0"/>
        <v>340</v>
      </c>
      <c r="E85" s="26">
        <f t="shared" si="0"/>
        <v>432</v>
      </c>
      <c r="F85" s="26">
        <f t="shared" si="0"/>
        <v>565</v>
      </c>
      <c r="G85" s="26">
        <f t="shared" si="1"/>
        <v>316</v>
      </c>
      <c r="H85" s="26">
        <f t="shared" si="1"/>
        <v>417</v>
      </c>
      <c r="I85" s="26">
        <f t="shared" si="1"/>
        <v>490</v>
      </c>
      <c r="J85" s="27">
        <f t="shared" si="1"/>
        <v>580</v>
      </c>
    </row>
    <row r="86" spans="2:10" ht="10.5" customHeight="1" x14ac:dyDescent="0.2">
      <c r="B86" s="25">
        <v>700</v>
      </c>
      <c r="C86" s="26">
        <f t="shared" si="0"/>
        <v>249</v>
      </c>
      <c r="D86" s="26">
        <f t="shared" si="0"/>
        <v>370</v>
      </c>
      <c r="E86" s="26">
        <f t="shared" si="0"/>
        <v>481</v>
      </c>
      <c r="F86" s="26">
        <f t="shared" si="0"/>
        <v>653</v>
      </c>
      <c r="G86" s="26">
        <f t="shared" si="1"/>
        <v>342</v>
      </c>
      <c r="H86" s="26">
        <f t="shared" si="1"/>
        <v>462</v>
      </c>
      <c r="I86" s="26">
        <f t="shared" si="1"/>
        <v>555</v>
      </c>
      <c r="J86" s="27">
        <f t="shared" si="1"/>
        <v>672</v>
      </c>
    </row>
    <row r="87" spans="2:10" ht="10.5" customHeight="1" x14ac:dyDescent="0.2">
      <c r="B87" s="28">
        <v>800</v>
      </c>
      <c r="C87" s="29">
        <f t="shared" si="0"/>
        <v>260</v>
      </c>
      <c r="D87" s="29">
        <f t="shared" si="0"/>
        <v>396</v>
      </c>
      <c r="E87" s="29">
        <f t="shared" si="0"/>
        <v>527</v>
      </c>
      <c r="F87" s="29">
        <f t="shared" si="0"/>
        <v>739</v>
      </c>
      <c r="G87" s="29">
        <f t="shared" si="1"/>
        <v>364</v>
      </c>
      <c r="H87" s="29">
        <f t="shared" si="1"/>
        <v>504</v>
      </c>
      <c r="I87" s="29">
        <f t="shared" si="1"/>
        <v>616</v>
      </c>
      <c r="J87" s="30">
        <f t="shared" si="1"/>
        <v>764</v>
      </c>
    </row>
    <row r="88" spans="2:10" ht="10.5" customHeight="1" x14ac:dyDescent="0.2">
      <c r="B88" s="25">
        <v>1000</v>
      </c>
      <c r="C88" s="26">
        <f t="shared" si="0"/>
        <v>278</v>
      </c>
      <c r="D88" s="26">
        <f t="shared" si="0"/>
        <v>440</v>
      </c>
      <c r="E88" s="26">
        <f t="shared" si="0"/>
        <v>606</v>
      </c>
      <c r="F88" s="26">
        <f t="shared" si="0"/>
        <v>906</v>
      </c>
      <c r="G88" s="26">
        <f t="shared" si="1"/>
        <v>400</v>
      </c>
      <c r="H88" s="26">
        <f t="shared" si="1"/>
        <v>576</v>
      </c>
      <c r="I88" s="26">
        <f t="shared" si="1"/>
        <v>727</v>
      </c>
      <c r="J88" s="27">
        <f t="shared" si="1"/>
        <v>944</v>
      </c>
    </row>
    <row r="89" spans="2:10" ht="10.5" customHeight="1" x14ac:dyDescent="0.2">
      <c r="B89" s="25">
        <v>1200</v>
      </c>
      <c r="C89" s="26">
        <f t="shared" si="0"/>
        <v>292</v>
      </c>
      <c r="D89" s="26">
        <f t="shared" si="0"/>
        <v>475</v>
      </c>
      <c r="E89" s="26">
        <f t="shared" si="0"/>
        <v>674</v>
      </c>
      <c r="F89" s="26">
        <f t="shared" si="0"/>
        <v>1067</v>
      </c>
      <c r="G89" s="26">
        <f t="shared" si="1"/>
        <v>429</v>
      </c>
      <c r="H89" s="26">
        <f t="shared" si="1"/>
        <v>638</v>
      </c>
      <c r="I89" s="26">
        <f t="shared" si="1"/>
        <v>828</v>
      </c>
      <c r="J89" s="27">
        <f t="shared" si="1"/>
        <v>1120</v>
      </c>
    </row>
    <row r="90" spans="2:10" ht="10.5" customHeight="1" x14ac:dyDescent="0.2">
      <c r="B90" s="25">
        <v>1500</v>
      </c>
      <c r="C90" s="26">
        <f t="shared" si="0"/>
        <v>306</v>
      </c>
      <c r="D90" s="26">
        <f t="shared" si="0"/>
        <v>515</v>
      </c>
      <c r="E90" s="26">
        <f t="shared" si="0"/>
        <v>760</v>
      </c>
      <c r="F90" s="26">
        <f t="shared" si="0"/>
        <v>1298</v>
      </c>
      <c r="G90" s="26">
        <f t="shared" si="1"/>
        <v>462</v>
      </c>
      <c r="H90" s="26">
        <f t="shared" si="1"/>
        <v>713</v>
      </c>
      <c r="I90" s="26">
        <f t="shared" si="1"/>
        <v>960</v>
      </c>
      <c r="J90" s="27">
        <f t="shared" si="1"/>
        <v>1376</v>
      </c>
    </row>
    <row r="91" spans="2:10" ht="10.5" customHeight="1" x14ac:dyDescent="0.2">
      <c r="B91" s="25">
        <v>2000</v>
      </c>
      <c r="C91" s="26">
        <f t="shared" si="0"/>
        <v>323</v>
      </c>
      <c r="D91" s="26">
        <f t="shared" si="0"/>
        <v>564</v>
      </c>
      <c r="E91" s="26">
        <f t="shared" si="0"/>
        <v>869</v>
      </c>
      <c r="F91" s="26">
        <f t="shared" si="0"/>
        <v>1656</v>
      </c>
      <c r="G91" s="26">
        <f t="shared" si="1"/>
        <v>500</v>
      </c>
      <c r="H91" s="26">
        <f t="shared" si="1"/>
        <v>809</v>
      </c>
      <c r="I91" s="26">
        <f t="shared" si="1"/>
        <v>1143</v>
      </c>
      <c r="J91" s="27">
        <f t="shared" si="1"/>
        <v>1786</v>
      </c>
    </row>
    <row r="92" spans="2:10" ht="10.5" customHeight="1" x14ac:dyDescent="0.2">
      <c r="B92" s="28">
        <v>2500</v>
      </c>
      <c r="C92" s="29">
        <f t="shared" si="0"/>
        <v>333</v>
      </c>
      <c r="D92" s="29">
        <f t="shared" si="0"/>
        <v>597</v>
      </c>
      <c r="E92" s="29">
        <f t="shared" si="0"/>
        <v>952</v>
      </c>
      <c r="F92" s="29">
        <f t="shared" si="0"/>
        <v>1984</v>
      </c>
      <c r="G92" s="29">
        <f t="shared" si="1"/>
        <v>526</v>
      </c>
      <c r="H92" s="29">
        <f t="shared" si="1"/>
        <v>881</v>
      </c>
      <c r="I92" s="29">
        <f t="shared" si="1"/>
        <v>1290</v>
      </c>
      <c r="J92" s="30">
        <f t="shared" si="1"/>
        <v>2174</v>
      </c>
    </row>
    <row r="93" spans="2:10" ht="10.5" customHeight="1" x14ac:dyDescent="0.2">
      <c r="B93" s="25">
        <v>3500</v>
      </c>
      <c r="C93" s="26">
        <f t="shared" ref="C93:F107" si="2">ROUNDUP((((POWER($F$70,2)*0.5*(1-0.5))/(POWER(C$72,2)))/(1+((POWER($F$70,2)*0.5*(1-0.5))/(POWER(C$72,2)*$B93)))),0)</f>
        <v>347</v>
      </c>
      <c r="D93" s="26">
        <f t="shared" si="2"/>
        <v>641</v>
      </c>
      <c r="E93" s="26">
        <f t="shared" si="2"/>
        <v>1068</v>
      </c>
      <c r="F93" s="26">
        <f t="shared" si="2"/>
        <v>2566</v>
      </c>
      <c r="G93" s="26">
        <f t="shared" ref="G93:J107" si="3">ROUNDUP((((POWER($J$70,2)*0.5*(1-0.5))/(POWER(G$72,2)))/(1+((POWER($J$70,2)*0.5*(1-0.5))/(POWER(G$72,2)*$B93)))),0)</f>
        <v>560</v>
      </c>
      <c r="H93" s="26">
        <f t="shared" si="3"/>
        <v>979</v>
      </c>
      <c r="I93" s="26">
        <f t="shared" si="3"/>
        <v>1513</v>
      </c>
      <c r="J93" s="27">
        <f t="shared" si="3"/>
        <v>2892</v>
      </c>
    </row>
    <row r="94" spans="2:10" ht="10.5" customHeight="1" x14ac:dyDescent="0.2">
      <c r="B94" s="25">
        <v>5000</v>
      </c>
      <c r="C94" s="26">
        <f t="shared" si="2"/>
        <v>357</v>
      </c>
      <c r="D94" s="26">
        <f t="shared" si="2"/>
        <v>678</v>
      </c>
      <c r="E94" s="26">
        <f t="shared" si="2"/>
        <v>1176</v>
      </c>
      <c r="F94" s="26">
        <f t="shared" si="2"/>
        <v>3289</v>
      </c>
      <c r="G94" s="26">
        <f t="shared" si="3"/>
        <v>588</v>
      </c>
      <c r="H94" s="26">
        <f t="shared" si="3"/>
        <v>1069</v>
      </c>
      <c r="I94" s="26">
        <f t="shared" si="3"/>
        <v>1738</v>
      </c>
      <c r="J94" s="27">
        <f t="shared" si="3"/>
        <v>3845</v>
      </c>
    </row>
    <row r="95" spans="2:10" ht="10.5" customHeight="1" x14ac:dyDescent="0.2">
      <c r="B95" s="25">
        <v>7500</v>
      </c>
      <c r="C95" s="26">
        <f t="shared" si="2"/>
        <v>366</v>
      </c>
      <c r="D95" s="26">
        <f t="shared" si="2"/>
        <v>710</v>
      </c>
      <c r="E95" s="26">
        <f t="shared" si="2"/>
        <v>1276</v>
      </c>
      <c r="F95" s="26">
        <f t="shared" si="2"/>
        <v>4212</v>
      </c>
      <c r="G95" s="26">
        <f t="shared" si="3"/>
        <v>612</v>
      </c>
      <c r="H95" s="26">
        <f t="shared" si="3"/>
        <v>1151</v>
      </c>
      <c r="I95" s="26">
        <f t="shared" si="3"/>
        <v>1965</v>
      </c>
      <c r="J95" s="27">
        <f t="shared" si="3"/>
        <v>5170</v>
      </c>
    </row>
    <row r="96" spans="2:10" ht="10.5" customHeight="1" x14ac:dyDescent="0.2">
      <c r="B96" s="25">
        <v>10000</v>
      </c>
      <c r="C96" s="26">
        <f t="shared" si="2"/>
        <v>370</v>
      </c>
      <c r="D96" s="26">
        <f t="shared" si="2"/>
        <v>728</v>
      </c>
      <c r="E96" s="26">
        <f t="shared" si="2"/>
        <v>1332</v>
      </c>
      <c r="F96" s="26">
        <f t="shared" si="2"/>
        <v>4900</v>
      </c>
      <c r="G96" s="26">
        <f t="shared" si="3"/>
        <v>625</v>
      </c>
      <c r="H96" s="26">
        <f t="shared" si="3"/>
        <v>1196</v>
      </c>
      <c r="I96" s="26">
        <f t="shared" si="3"/>
        <v>2103</v>
      </c>
      <c r="J96" s="27">
        <f t="shared" si="3"/>
        <v>6247</v>
      </c>
    </row>
    <row r="97" spans="1:12" ht="10.5" customHeight="1" x14ac:dyDescent="0.2">
      <c r="B97" s="28">
        <v>25000</v>
      </c>
      <c r="C97" s="29">
        <f t="shared" si="2"/>
        <v>379</v>
      </c>
      <c r="D97" s="29">
        <f t="shared" si="2"/>
        <v>761</v>
      </c>
      <c r="E97" s="29">
        <f t="shared" si="2"/>
        <v>1448</v>
      </c>
      <c r="F97" s="29">
        <f t="shared" si="2"/>
        <v>6939</v>
      </c>
      <c r="G97" s="29">
        <f t="shared" si="3"/>
        <v>649</v>
      </c>
      <c r="H97" s="29">
        <f t="shared" si="3"/>
        <v>1289</v>
      </c>
      <c r="I97" s="29">
        <f t="shared" si="3"/>
        <v>2407</v>
      </c>
      <c r="J97" s="30">
        <f t="shared" si="3"/>
        <v>9991</v>
      </c>
    </row>
    <row r="98" spans="1:12" ht="10.5" customHeight="1" x14ac:dyDescent="0.2">
      <c r="B98" s="25">
        <v>50000</v>
      </c>
      <c r="C98" s="26">
        <f t="shared" si="2"/>
        <v>382</v>
      </c>
      <c r="D98" s="26">
        <f t="shared" si="2"/>
        <v>772</v>
      </c>
      <c r="E98" s="26">
        <f t="shared" si="2"/>
        <v>1491</v>
      </c>
      <c r="F98" s="26">
        <f t="shared" si="2"/>
        <v>8057</v>
      </c>
      <c r="G98" s="26">
        <f t="shared" si="3"/>
        <v>657</v>
      </c>
      <c r="H98" s="26">
        <f t="shared" si="3"/>
        <v>1323</v>
      </c>
      <c r="I98" s="26">
        <f t="shared" si="3"/>
        <v>2528</v>
      </c>
      <c r="J98" s="27">
        <f t="shared" si="3"/>
        <v>12486</v>
      </c>
    </row>
    <row r="99" spans="1:12" ht="10.5" customHeight="1" x14ac:dyDescent="0.2">
      <c r="B99" s="25">
        <v>75000</v>
      </c>
      <c r="C99" s="26">
        <f t="shared" si="2"/>
        <v>383</v>
      </c>
      <c r="D99" s="26">
        <f t="shared" si="2"/>
        <v>776</v>
      </c>
      <c r="E99" s="26">
        <f t="shared" si="2"/>
        <v>1506</v>
      </c>
      <c r="F99" s="26">
        <f t="shared" si="2"/>
        <v>8514</v>
      </c>
      <c r="G99" s="26">
        <f t="shared" si="3"/>
        <v>660</v>
      </c>
      <c r="H99" s="26">
        <f t="shared" si="3"/>
        <v>1335</v>
      </c>
      <c r="I99" s="26">
        <f t="shared" si="3"/>
        <v>2572</v>
      </c>
      <c r="J99" s="27">
        <f t="shared" si="3"/>
        <v>13620</v>
      </c>
    </row>
    <row r="100" spans="1:12" ht="10.5" customHeight="1" x14ac:dyDescent="0.2">
      <c r="B100" s="25">
        <v>100000</v>
      </c>
      <c r="C100" s="26">
        <f t="shared" si="2"/>
        <v>383</v>
      </c>
      <c r="D100" s="26">
        <f t="shared" si="2"/>
        <v>778</v>
      </c>
      <c r="E100" s="26">
        <f t="shared" si="2"/>
        <v>1514</v>
      </c>
      <c r="F100" s="26">
        <f t="shared" si="2"/>
        <v>8763</v>
      </c>
      <c r="G100" s="26">
        <f t="shared" si="3"/>
        <v>662</v>
      </c>
      <c r="H100" s="26">
        <f t="shared" si="3"/>
        <v>1341</v>
      </c>
      <c r="I100" s="26">
        <f t="shared" si="3"/>
        <v>2594</v>
      </c>
      <c r="J100" s="27">
        <f t="shared" si="3"/>
        <v>14267</v>
      </c>
    </row>
    <row r="101" spans="1:12" ht="10.5" customHeight="1" x14ac:dyDescent="0.2">
      <c r="B101" s="25">
        <v>250000</v>
      </c>
      <c r="C101" s="26">
        <f t="shared" si="2"/>
        <v>384</v>
      </c>
      <c r="D101" s="26">
        <f t="shared" si="2"/>
        <v>782</v>
      </c>
      <c r="E101" s="26">
        <f t="shared" si="2"/>
        <v>1528</v>
      </c>
      <c r="F101" s="26">
        <f t="shared" si="2"/>
        <v>9249</v>
      </c>
      <c r="G101" s="26">
        <f t="shared" si="3"/>
        <v>664</v>
      </c>
      <c r="H101" s="26">
        <f t="shared" si="3"/>
        <v>1352</v>
      </c>
      <c r="I101" s="26">
        <f t="shared" si="3"/>
        <v>2635</v>
      </c>
      <c r="J101" s="27">
        <f t="shared" si="3"/>
        <v>15603</v>
      </c>
    </row>
    <row r="102" spans="1:12" ht="10.5" customHeight="1" x14ac:dyDescent="0.2">
      <c r="B102" s="28">
        <v>500000</v>
      </c>
      <c r="C102" s="29">
        <f t="shared" si="2"/>
        <v>384</v>
      </c>
      <c r="D102" s="29">
        <f t="shared" si="2"/>
        <v>783</v>
      </c>
      <c r="E102" s="29">
        <f t="shared" si="2"/>
        <v>1532</v>
      </c>
      <c r="F102" s="29">
        <f t="shared" si="2"/>
        <v>9424</v>
      </c>
      <c r="G102" s="29">
        <f t="shared" si="3"/>
        <v>665</v>
      </c>
      <c r="H102" s="29">
        <f t="shared" si="3"/>
        <v>1355</v>
      </c>
      <c r="I102" s="29">
        <f t="shared" si="3"/>
        <v>2649</v>
      </c>
      <c r="J102" s="30">
        <f t="shared" si="3"/>
        <v>16105</v>
      </c>
    </row>
    <row r="103" spans="1:12" ht="10.5" customHeight="1" x14ac:dyDescent="0.2">
      <c r="B103" s="25">
        <v>1000000</v>
      </c>
      <c r="C103" s="26">
        <f t="shared" si="2"/>
        <v>385</v>
      </c>
      <c r="D103" s="26">
        <f t="shared" si="2"/>
        <v>784</v>
      </c>
      <c r="E103" s="26">
        <f t="shared" si="2"/>
        <v>1535</v>
      </c>
      <c r="F103" s="26">
        <f t="shared" si="2"/>
        <v>9513</v>
      </c>
      <c r="G103" s="26">
        <f t="shared" si="3"/>
        <v>666</v>
      </c>
      <c r="H103" s="26">
        <f t="shared" si="3"/>
        <v>1357</v>
      </c>
      <c r="I103" s="26">
        <f t="shared" si="3"/>
        <v>2656</v>
      </c>
      <c r="J103" s="27">
        <f t="shared" si="3"/>
        <v>16369</v>
      </c>
    </row>
    <row r="104" spans="1:12" ht="10.5" customHeight="1" x14ac:dyDescent="0.2">
      <c r="B104" s="25">
        <v>2500000</v>
      </c>
      <c r="C104" s="26">
        <f t="shared" si="2"/>
        <v>385</v>
      </c>
      <c r="D104" s="26">
        <f t="shared" si="2"/>
        <v>784</v>
      </c>
      <c r="E104" s="26">
        <f t="shared" si="2"/>
        <v>1536</v>
      </c>
      <c r="F104" s="26">
        <f t="shared" si="2"/>
        <v>9568</v>
      </c>
      <c r="G104" s="26">
        <f t="shared" si="3"/>
        <v>666</v>
      </c>
      <c r="H104" s="26">
        <f t="shared" si="3"/>
        <v>1358</v>
      </c>
      <c r="I104" s="26">
        <f t="shared" si="3"/>
        <v>2660</v>
      </c>
      <c r="J104" s="27">
        <f t="shared" si="3"/>
        <v>16531</v>
      </c>
    </row>
    <row r="105" spans="1:12" ht="10.5" customHeight="1" x14ac:dyDescent="0.2">
      <c r="B105" s="25">
        <v>10000000</v>
      </c>
      <c r="C105" s="26">
        <f t="shared" si="2"/>
        <v>385</v>
      </c>
      <c r="D105" s="26">
        <f t="shared" si="2"/>
        <v>784</v>
      </c>
      <c r="E105" s="26">
        <f t="shared" si="2"/>
        <v>1537</v>
      </c>
      <c r="F105" s="26">
        <f t="shared" si="2"/>
        <v>9595</v>
      </c>
      <c r="G105" s="26">
        <f t="shared" si="3"/>
        <v>666</v>
      </c>
      <c r="H105" s="26">
        <f t="shared" si="3"/>
        <v>1359</v>
      </c>
      <c r="I105" s="26">
        <f t="shared" si="3"/>
        <v>2662</v>
      </c>
      <c r="J105" s="27">
        <f t="shared" si="3"/>
        <v>16614</v>
      </c>
    </row>
    <row r="106" spans="1:12" ht="10.5" customHeight="1" x14ac:dyDescent="0.2">
      <c r="B106" s="25">
        <v>100000000</v>
      </c>
      <c r="C106" s="26">
        <f t="shared" si="2"/>
        <v>385</v>
      </c>
      <c r="D106" s="26">
        <f t="shared" si="2"/>
        <v>784</v>
      </c>
      <c r="E106" s="26">
        <f t="shared" si="2"/>
        <v>1537</v>
      </c>
      <c r="F106" s="26">
        <f t="shared" si="2"/>
        <v>9604</v>
      </c>
      <c r="G106" s="26">
        <f t="shared" si="3"/>
        <v>666</v>
      </c>
      <c r="H106" s="26">
        <f t="shared" si="3"/>
        <v>1359</v>
      </c>
      <c r="I106" s="26">
        <f t="shared" si="3"/>
        <v>2663</v>
      </c>
      <c r="J106" s="27">
        <f t="shared" si="3"/>
        <v>16639</v>
      </c>
    </row>
    <row r="107" spans="1:12" ht="10.5" customHeight="1" thickBot="1" x14ac:dyDescent="0.25">
      <c r="B107" s="31">
        <v>300000000</v>
      </c>
      <c r="C107" s="32">
        <f t="shared" si="2"/>
        <v>385</v>
      </c>
      <c r="D107" s="32">
        <f t="shared" si="2"/>
        <v>784</v>
      </c>
      <c r="E107" s="32">
        <f t="shared" si="2"/>
        <v>1537</v>
      </c>
      <c r="F107" s="32">
        <f t="shared" si="2"/>
        <v>9604</v>
      </c>
      <c r="G107" s="32">
        <f t="shared" si="3"/>
        <v>666</v>
      </c>
      <c r="H107" s="32">
        <f t="shared" si="3"/>
        <v>1359</v>
      </c>
      <c r="I107" s="32">
        <f t="shared" si="3"/>
        <v>2663</v>
      </c>
      <c r="J107" s="33">
        <f t="shared" si="3"/>
        <v>16641</v>
      </c>
    </row>
    <row r="109" spans="1:12" ht="11.25" customHeight="1" x14ac:dyDescent="0.2">
      <c r="B109" s="77"/>
      <c r="C109" s="77"/>
      <c r="D109" s="77"/>
      <c r="E109" s="77"/>
      <c r="F109" s="77"/>
      <c r="G109" s="77"/>
      <c r="H109" s="77"/>
      <c r="I109" s="77"/>
      <c r="J109" s="77"/>
    </row>
    <row r="110" spans="1:12" ht="26.25" customHeight="1" x14ac:dyDescent="0.2">
      <c r="A110" s="84" t="s">
        <v>20</v>
      </c>
      <c r="B110" s="84"/>
      <c r="C110" s="84"/>
      <c r="D110" s="84"/>
      <c r="E110" s="84"/>
      <c r="F110" s="84"/>
      <c r="G110" s="84"/>
      <c r="H110" s="84"/>
      <c r="I110" s="84"/>
      <c r="J110" s="84"/>
    </row>
    <row r="111" spans="1:12" ht="11.25" customHeight="1" x14ac:dyDescent="0.2">
      <c r="A111" s="75" t="s">
        <v>11</v>
      </c>
      <c r="B111" s="76"/>
      <c r="C111" s="76"/>
      <c r="D111" s="76"/>
      <c r="E111" s="76"/>
      <c r="F111" s="76"/>
      <c r="G111" s="76"/>
      <c r="H111" s="76"/>
      <c r="I111" s="76"/>
      <c r="J111" s="76"/>
      <c r="K111" s="51"/>
      <c r="L111" s="52"/>
    </row>
  </sheetData>
  <sheetProtection formatCells="0" formatColumns="0" formatRows="0" insertColumns="0" insertRows="0" insertHyperlinks="0" deleteColumns="0" deleteRows="0" sort="0" autoFilter="0" pivotTables="0"/>
  <mergeCells count="21">
    <mergeCell ref="A111:J111"/>
    <mergeCell ref="B109:J109"/>
    <mergeCell ref="C8:J8"/>
    <mergeCell ref="C4:J4"/>
    <mergeCell ref="B2:G2"/>
    <mergeCell ref="H2:J2"/>
    <mergeCell ref="A60:J60"/>
    <mergeCell ref="A110:J110"/>
    <mergeCell ref="C5:J5"/>
    <mergeCell ref="D51:J56"/>
    <mergeCell ref="A59:J59"/>
    <mergeCell ref="B66:J66"/>
    <mergeCell ref="C7:J7"/>
    <mergeCell ref="C6:J6"/>
    <mergeCell ref="C9:J9"/>
    <mergeCell ref="D50:J50"/>
    <mergeCell ref="B70:B72"/>
    <mergeCell ref="C71:F71"/>
    <mergeCell ref="G71:J71"/>
    <mergeCell ref="B68:J68"/>
    <mergeCell ref="A51:C56"/>
  </mergeCells>
  <conditionalFormatting sqref="C72">
    <cfRule type="expression" dxfId="9" priority="4">
      <formula>C72=$C$14</formula>
    </cfRule>
  </conditionalFormatting>
  <conditionalFormatting sqref="D72:J72">
    <cfRule type="expression" dxfId="8" priority="3">
      <formula>D72=$C$14</formula>
    </cfRule>
  </conditionalFormatting>
  <conditionalFormatting sqref="F70">
    <cfRule type="expression" dxfId="7" priority="2">
      <formula>F70=$C$12</formula>
    </cfRule>
  </conditionalFormatting>
  <conditionalFormatting sqref="J70">
    <cfRule type="expression" dxfId="6" priority="1">
      <formula>J70=$C$12</formula>
    </cfRule>
  </conditionalFormatting>
  <conditionalFormatting sqref="C73:J107">
    <cfRule type="expression" dxfId="5" priority="20">
      <formula>C73=$H$12</formula>
    </cfRule>
  </conditionalFormatting>
  <dataValidations count="2">
    <dataValidation type="list" allowBlank="1" showInputMessage="1" showErrorMessage="1" sqref="C12">
      <formula1>"1.28,1.44,1.65,1.96,2.58"</formula1>
    </dataValidation>
    <dataValidation type="decimal" allowBlank="1" showInputMessage="1" showErrorMessage="1" sqref="C13:C14">
      <formula1>0</formula1>
      <formula2>1</formula2>
    </dataValidation>
  </dataValidations>
  <hyperlinks>
    <hyperlink ref="A111" r:id="rId1"/>
    <hyperlink ref="A60" r:id="rId2"/>
  </hyperlinks>
  <pageMargins left="0.7" right="0.7" top="0.75" bottom="0.75" header="0.3" footer="0.3"/>
  <pageSetup orientation="portrait" verticalDpi="0" r:id="rId3"/>
  <ignoredErrors>
    <ignoredError sqref="C7" unlockedFormula="1"/>
  </ignoredErrors>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S111"/>
  <sheetViews>
    <sheetView showGridLines="0" tabSelected="1" view="pageLayout" zoomScale="115" zoomScaleNormal="100" zoomScalePageLayoutView="115" workbookViewId="0">
      <selection activeCell="H12" sqref="H12"/>
    </sheetView>
  </sheetViews>
  <sheetFormatPr baseColWidth="10" defaultRowHeight="11.25" x14ac:dyDescent="0.2"/>
  <cols>
    <col min="1" max="1" width="2.42578125" style="2" customWidth="1"/>
    <col min="2" max="2" width="16.28515625" style="2" customWidth="1"/>
    <col min="3" max="10" width="8.7109375" style="2" customWidth="1"/>
    <col min="11" max="11" width="7.7109375" style="2" customWidth="1"/>
    <col min="12" max="19" width="6.7109375" style="2" customWidth="1"/>
    <col min="20" max="16384" width="11.42578125" style="2"/>
  </cols>
  <sheetData>
    <row r="1" spans="1:19" x14ac:dyDescent="0.2">
      <c r="A1" s="1" t="s">
        <v>0</v>
      </c>
    </row>
    <row r="2" spans="1:19" ht="19.5" thickBot="1" x14ac:dyDescent="0.35">
      <c r="B2" s="82" t="s">
        <v>27</v>
      </c>
      <c r="C2" s="82"/>
      <c r="D2" s="82"/>
      <c r="E2" s="82"/>
      <c r="F2" s="82"/>
      <c r="G2" s="82"/>
      <c r="H2" s="83"/>
      <c r="I2" s="83"/>
      <c r="J2" s="83"/>
    </row>
    <row r="3" spans="1:19" ht="15.75" customHeight="1" x14ac:dyDescent="0.2">
      <c r="B3" s="3"/>
      <c r="C3" s="4"/>
      <c r="D3" s="4"/>
      <c r="E3" s="4"/>
      <c r="F3" s="4"/>
      <c r="G3" s="4"/>
      <c r="H3" s="4"/>
      <c r="I3" s="4"/>
      <c r="J3" s="4"/>
      <c r="K3" s="5"/>
      <c r="L3" s="6"/>
      <c r="O3" s="7"/>
      <c r="R3" s="8"/>
      <c r="S3" s="9"/>
    </row>
    <row r="4" spans="1:19" ht="15.75" customHeight="1" x14ac:dyDescent="0.2">
      <c r="B4" s="36" t="s">
        <v>28</v>
      </c>
      <c r="C4" s="80"/>
      <c r="D4" s="81"/>
      <c r="E4" s="81"/>
      <c r="F4" s="81"/>
      <c r="G4" s="81"/>
      <c r="H4" s="81"/>
      <c r="I4" s="81"/>
      <c r="J4" s="81"/>
      <c r="K4" s="5"/>
      <c r="L4" s="6"/>
      <c r="O4" s="7"/>
      <c r="R4" s="8"/>
      <c r="S4" s="9"/>
    </row>
    <row r="5" spans="1:19" ht="15.75" customHeight="1" x14ac:dyDescent="0.2">
      <c r="B5" s="36" t="s">
        <v>29</v>
      </c>
      <c r="C5" s="85"/>
      <c r="D5" s="86"/>
      <c r="E5" s="86"/>
      <c r="F5" s="86"/>
      <c r="G5" s="86"/>
      <c r="H5" s="86"/>
      <c r="I5" s="86"/>
      <c r="J5" s="86"/>
      <c r="K5" s="5"/>
      <c r="L5" s="6"/>
      <c r="O5" s="7"/>
      <c r="R5" s="8"/>
      <c r="S5" s="9"/>
    </row>
    <row r="6" spans="1:19" ht="15.75" customHeight="1" x14ac:dyDescent="0.2">
      <c r="B6" s="36" t="s">
        <v>30</v>
      </c>
      <c r="C6" s="85"/>
      <c r="D6" s="86"/>
      <c r="E6" s="86"/>
      <c r="F6" s="86"/>
      <c r="G6" s="86"/>
      <c r="H6" s="86"/>
      <c r="I6" s="86"/>
      <c r="J6" s="86"/>
      <c r="K6" s="5"/>
      <c r="L6" s="6"/>
      <c r="O6" s="7"/>
      <c r="R6" s="8"/>
      <c r="S6" s="9"/>
    </row>
    <row r="7" spans="1:19" ht="15.75" customHeight="1" x14ac:dyDescent="0.2">
      <c r="B7" s="38" t="s">
        <v>31</v>
      </c>
      <c r="C7" s="78">
        <f ca="1">TODAY()</f>
        <v>43566</v>
      </c>
      <c r="D7" s="79"/>
      <c r="E7" s="79"/>
      <c r="F7" s="79"/>
      <c r="G7" s="79"/>
      <c r="H7" s="79"/>
      <c r="I7" s="79"/>
      <c r="J7" s="79"/>
      <c r="K7" s="5"/>
      <c r="L7" s="6"/>
      <c r="O7" s="7"/>
      <c r="R7" s="8"/>
      <c r="S7" s="9"/>
    </row>
    <row r="8" spans="1:19" ht="15.75" customHeight="1" x14ac:dyDescent="0.2">
      <c r="B8" s="38" t="s">
        <v>47</v>
      </c>
      <c r="C8" s="78"/>
      <c r="D8" s="79"/>
      <c r="E8" s="79"/>
      <c r="F8" s="79"/>
      <c r="G8" s="79"/>
      <c r="H8" s="79"/>
      <c r="I8" s="79"/>
      <c r="J8" s="79"/>
      <c r="K8" s="5"/>
      <c r="L8" s="6"/>
      <c r="O8" s="7"/>
      <c r="R8" s="8"/>
      <c r="S8" s="9"/>
    </row>
    <row r="9" spans="1:19" ht="79.5" customHeight="1" x14ac:dyDescent="0.2">
      <c r="B9" s="39" t="s">
        <v>32</v>
      </c>
      <c r="C9" s="88"/>
      <c r="D9" s="89"/>
      <c r="E9" s="89"/>
      <c r="F9" s="89"/>
      <c r="G9" s="89"/>
      <c r="H9" s="89"/>
      <c r="I9" s="89"/>
      <c r="J9" s="89"/>
      <c r="K9" s="5"/>
      <c r="L9" s="6"/>
      <c r="O9" s="7"/>
      <c r="R9" s="8"/>
      <c r="S9" s="9"/>
    </row>
    <row r="10" spans="1:19" ht="15.75" customHeight="1" x14ac:dyDescent="0.2">
      <c r="B10" s="34"/>
      <c r="C10" s="35"/>
      <c r="D10" s="35"/>
      <c r="E10" s="35"/>
      <c r="F10" s="35"/>
      <c r="G10" s="35"/>
      <c r="H10" s="35"/>
      <c r="I10" s="40"/>
      <c r="J10" s="41"/>
    </row>
    <row r="11" spans="1:19" ht="14.25" customHeight="1" x14ac:dyDescent="0.2">
      <c r="B11" s="36" t="s">
        <v>33</v>
      </c>
      <c r="C11" s="49"/>
      <c r="D11" s="42"/>
      <c r="E11" s="42"/>
      <c r="F11" s="42"/>
      <c r="G11" s="42"/>
      <c r="H11" s="42"/>
      <c r="I11" s="41"/>
      <c r="J11" s="41"/>
    </row>
    <row r="12" spans="1:19" ht="14.25" customHeight="1" x14ac:dyDescent="0.2">
      <c r="B12" s="36" t="s">
        <v>34</v>
      </c>
      <c r="C12" s="43">
        <v>2.58</v>
      </c>
      <c r="D12" s="35"/>
      <c r="E12" s="37"/>
      <c r="F12" s="37"/>
      <c r="G12" s="36" t="s">
        <v>37</v>
      </c>
      <c r="H12" s="11" t="str">
        <f>IFERROR(ROUNDUP((((POWER(C12,2)*C13*(1-C13))/(POWER(C14,2)))/(1+((POWER(C12,2)*C13*(1-C13))/(POWER(C14,2)*C11)))),0),"ERROR")</f>
        <v>ERROR</v>
      </c>
      <c r="I12" s="12"/>
      <c r="J12" s="41"/>
    </row>
    <row r="13" spans="1:19" ht="14.25" customHeight="1" x14ac:dyDescent="0.2">
      <c r="B13" s="36" t="s">
        <v>35</v>
      </c>
      <c r="C13" s="44">
        <v>0.5</v>
      </c>
      <c r="D13" s="35"/>
      <c r="E13" s="42"/>
      <c r="F13" s="42"/>
      <c r="G13" s="42"/>
      <c r="H13" s="48"/>
      <c r="I13" s="41"/>
      <c r="J13" s="41"/>
    </row>
    <row r="14" spans="1:19" ht="14.25" customHeight="1" x14ac:dyDescent="0.2">
      <c r="B14" s="36" t="s">
        <v>36</v>
      </c>
      <c r="C14" s="45">
        <v>0.01</v>
      </c>
      <c r="D14" s="35"/>
      <c r="E14" s="35"/>
      <c r="F14" s="54"/>
      <c r="G14" s="35"/>
      <c r="H14" s="35"/>
      <c r="I14" s="40"/>
      <c r="J14" s="41"/>
    </row>
    <row r="15" spans="1:19" ht="7.5" customHeight="1" x14ac:dyDescent="0.2">
      <c r="B15" s="46"/>
      <c r="C15" s="47"/>
      <c r="D15" s="35"/>
      <c r="E15" s="42"/>
      <c r="F15" s="42"/>
      <c r="G15" s="42"/>
      <c r="H15" s="42"/>
      <c r="I15" s="42"/>
      <c r="J15" s="41"/>
    </row>
    <row r="16" spans="1:19" ht="9.75" hidden="1" customHeight="1" x14ac:dyDescent="0.2">
      <c r="B16" s="46"/>
      <c r="C16" s="55"/>
      <c r="D16" s="35"/>
      <c r="E16" s="42"/>
      <c r="F16" s="42"/>
      <c r="G16" s="42"/>
      <c r="H16" s="42"/>
      <c r="I16" s="42"/>
      <c r="J16" s="41"/>
    </row>
    <row r="17" spans="2:10" ht="9.75" hidden="1" customHeight="1" x14ac:dyDescent="0.2">
      <c r="B17" s="42"/>
      <c r="C17" s="42"/>
      <c r="D17" s="42"/>
      <c r="E17" s="42"/>
      <c r="F17" s="42"/>
      <c r="G17" s="42"/>
      <c r="H17" s="42"/>
      <c r="I17" s="42"/>
      <c r="J17" s="42"/>
    </row>
    <row r="18" spans="2:10" ht="9.75" hidden="1" customHeight="1" x14ac:dyDescent="0.2">
      <c r="B18" s="42"/>
      <c r="C18" s="42"/>
      <c r="D18" s="42"/>
      <c r="E18" s="42"/>
      <c r="F18" s="42"/>
      <c r="G18" s="42"/>
      <c r="H18" s="42"/>
      <c r="I18" s="42"/>
      <c r="J18" s="42"/>
    </row>
    <row r="19" spans="2:10" ht="9.75" hidden="1" customHeight="1" x14ac:dyDescent="0.2">
      <c r="B19" s="42"/>
      <c r="C19" s="42"/>
      <c r="D19" s="42"/>
      <c r="E19" s="42"/>
      <c r="F19" s="42"/>
      <c r="G19" s="42"/>
      <c r="H19" s="42"/>
      <c r="I19" s="42"/>
      <c r="J19" s="42"/>
    </row>
    <row r="20" spans="2:10" ht="9.75" hidden="1" customHeight="1" x14ac:dyDescent="0.2">
      <c r="B20" s="42"/>
      <c r="C20" s="42"/>
      <c r="D20" s="42"/>
      <c r="E20" s="42"/>
      <c r="F20" s="42"/>
      <c r="G20" s="42"/>
      <c r="H20" s="42"/>
      <c r="I20" s="42"/>
      <c r="J20" s="42"/>
    </row>
    <row r="21" spans="2:10" ht="9.75" hidden="1" customHeight="1" x14ac:dyDescent="0.2">
      <c r="B21" s="42"/>
      <c r="C21" s="42"/>
      <c r="D21" s="42"/>
      <c r="E21" s="42"/>
      <c r="F21" s="42"/>
      <c r="G21" s="42"/>
      <c r="H21" s="42"/>
      <c r="I21" s="42"/>
      <c r="J21" s="42"/>
    </row>
    <row r="22" spans="2:10" ht="9.75" hidden="1" customHeight="1" x14ac:dyDescent="0.2">
      <c r="B22" s="42"/>
      <c r="C22" s="42"/>
      <c r="D22" s="42"/>
      <c r="E22" s="42"/>
      <c r="F22" s="42"/>
      <c r="G22" s="42"/>
      <c r="H22" s="42"/>
      <c r="I22" s="42"/>
      <c r="J22" s="42"/>
    </row>
    <row r="23" spans="2:10" ht="9.75" hidden="1" customHeight="1" x14ac:dyDescent="0.2">
      <c r="B23" s="42"/>
      <c r="C23" s="42"/>
      <c r="D23" s="42"/>
      <c r="E23" s="42"/>
      <c r="F23" s="42"/>
      <c r="G23" s="42"/>
      <c r="H23" s="42"/>
      <c r="I23" s="42"/>
      <c r="J23" s="42"/>
    </row>
    <row r="24" spans="2:10" ht="9.75" hidden="1" customHeight="1" x14ac:dyDescent="0.2">
      <c r="B24" s="42"/>
      <c r="C24" s="42"/>
      <c r="D24" s="42"/>
      <c r="E24" s="42"/>
      <c r="F24" s="42"/>
      <c r="G24" s="42"/>
      <c r="H24" s="42"/>
      <c r="I24" s="42"/>
      <c r="J24" s="42"/>
    </row>
    <row r="25" spans="2:10" ht="9.75" hidden="1" customHeight="1" x14ac:dyDescent="0.2">
      <c r="B25" s="42"/>
      <c r="C25" s="42"/>
      <c r="D25" s="42"/>
      <c r="E25" s="42"/>
      <c r="F25" s="42"/>
      <c r="G25" s="42"/>
      <c r="H25" s="42"/>
      <c r="I25" s="42"/>
      <c r="J25" s="42"/>
    </row>
    <row r="26" spans="2:10" ht="9.75" hidden="1" customHeight="1" x14ac:dyDescent="0.2">
      <c r="B26" s="42"/>
      <c r="C26" s="42"/>
      <c r="D26" s="42"/>
      <c r="E26" s="42"/>
      <c r="F26" s="42"/>
      <c r="G26" s="42"/>
      <c r="H26" s="42"/>
      <c r="I26" s="42"/>
      <c r="J26" s="42"/>
    </row>
    <row r="27" spans="2:10" ht="9.75" hidden="1" customHeight="1" x14ac:dyDescent="0.2">
      <c r="B27" s="42"/>
      <c r="C27" s="42"/>
      <c r="D27" s="42"/>
      <c r="E27" s="42"/>
      <c r="F27" s="42"/>
      <c r="G27" s="42"/>
      <c r="H27" s="42"/>
      <c r="I27" s="42"/>
      <c r="J27" s="42"/>
    </row>
    <row r="28" spans="2:10" ht="9.75" hidden="1" customHeight="1" x14ac:dyDescent="0.2">
      <c r="B28" s="42"/>
      <c r="C28" s="42"/>
      <c r="D28" s="42"/>
      <c r="J28" s="42"/>
    </row>
    <row r="29" spans="2:10" x14ac:dyDescent="0.2">
      <c r="B29" s="42"/>
      <c r="C29" s="42"/>
      <c r="D29" s="42"/>
      <c r="J29" s="42"/>
    </row>
    <row r="49" spans="1:12" x14ac:dyDescent="0.2">
      <c r="A49" s="59"/>
      <c r="B49" s="59"/>
      <c r="C49" s="59"/>
      <c r="D49" s="59"/>
      <c r="E49" s="59"/>
      <c r="F49" s="59"/>
      <c r="G49" s="59"/>
      <c r="H49" s="59"/>
      <c r="I49" s="59"/>
      <c r="J49" s="59"/>
    </row>
    <row r="50" spans="1:12" ht="11.25" customHeight="1" x14ac:dyDescent="0.2">
      <c r="A50" s="60"/>
      <c r="B50" s="58"/>
      <c r="C50" s="58"/>
      <c r="D50" s="90" t="s">
        <v>38</v>
      </c>
      <c r="E50" s="91"/>
      <c r="F50" s="91"/>
      <c r="G50" s="91"/>
      <c r="H50" s="91"/>
      <c r="I50" s="91"/>
      <c r="J50" s="91"/>
    </row>
    <row r="51" spans="1:12" ht="17.25" customHeight="1" x14ac:dyDescent="0.2">
      <c r="A51" s="73" t="s">
        <v>39</v>
      </c>
      <c r="B51" s="73"/>
      <c r="C51" s="74"/>
      <c r="D51" s="87" t="s">
        <v>40</v>
      </c>
      <c r="E51" s="87"/>
      <c r="F51" s="87"/>
      <c r="G51" s="87"/>
      <c r="H51" s="87"/>
      <c r="I51" s="87"/>
      <c r="J51" s="87"/>
      <c r="K51" s="53"/>
    </row>
    <row r="52" spans="1:12" ht="17.25" customHeight="1" x14ac:dyDescent="0.2">
      <c r="A52" s="73"/>
      <c r="B52" s="73"/>
      <c r="C52" s="74"/>
      <c r="D52" s="87"/>
      <c r="E52" s="87"/>
      <c r="F52" s="87"/>
      <c r="G52" s="87"/>
      <c r="H52" s="87"/>
      <c r="I52" s="87"/>
      <c r="J52" s="87"/>
      <c r="K52" s="53"/>
    </row>
    <row r="53" spans="1:12" ht="17.25" customHeight="1" x14ac:dyDescent="0.2">
      <c r="A53" s="73"/>
      <c r="B53" s="73"/>
      <c r="C53" s="74"/>
      <c r="D53" s="87"/>
      <c r="E53" s="87"/>
      <c r="F53" s="87"/>
      <c r="G53" s="87"/>
      <c r="H53" s="87"/>
      <c r="I53" s="87"/>
      <c r="J53" s="87"/>
      <c r="K53" s="53"/>
    </row>
    <row r="54" spans="1:12" ht="17.25" customHeight="1" x14ac:dyDescent="0.2">
      <c r="A54" s="73"/>
      <c r="B54" s="73"/>
      <c r="C54" s="74"/>
      <c r="D54" s="87"/>
      <c r="E54" s="87"/>
      <c r="F54" s="87"/>
      <c r="G54" s="87"/>
      <c r="H54" s="87"/>
      <c r="I54" s="87"/>
      <c r="J54" s="87"/>
      <c r="K54" s="53"/>
    </row>
    <row r="55" spans="1:12" ht="17.25" customHeight="1" x14ac:dyDescent="0.2">
      <c r="A55" s="73"/>
      <c r="B55" s="73"/>
      <c r="C55" s="74"/>
      <c r="D55" s="87"/>
      <c r="E55" s="87"/>
      <c r="F55" s="87"/>
      <c r="G55" s="87"/>
      <c r="H55" s="87"/>
      <c r="I55" s="87"/>
      <c r="J55" s="87"/>
      <c r="K55" s="53"/>
    </row>
    <row r="56" spans="1:12" ht="17.25" customHeight="1" x14ac:dyDescent="0.2">
      <c r="A56" s="73"/>
      <c r="B56" s="73"/>
      <c r="C56" s="74"/>
      <c r="D56" s="87"/>
      <c r="E56" s="87"/>
      <c r="F56" s="87"/>
      <c r="G56" s="87"/>
      <c r="H56" s="87"/>
      <c r="I56" s="87"/>
      <c r="J56" s="87"/>
      <c r="K56" s="53"/>
    </row>
    <row r="57" spans="1:12" ht="8.25" customHeight="1" x14ac:dyDescent="0.2">
      <c r="A57" s="64"/>
      <c r="B57" s="64"/>
      <c r="C57" s="64"/>
      <c r="D57" s="14"/>
      <c r="E57" s="15"/>
      <c r="F57" s="15"/>
      <c r="G57" s="15"/>
      <c r="H57" s="15"/>
      <c r="I57" s="15"/>
      <c r="J57" s="15"/>
      <c r="K57" s="15"/>
    </row>
    <row r="58" spans="1:12" ht="8.25" customHeight="1" x14ac:dyDescent="0.2">
      <c r="A58" s="64"/>
      <c r="B58" s="64"/>
      <c r="C58" s="64"/>
      <c r="D58" s="14"/>
      <c r="E58" s="15"/>
      <c r="F58" s="15"/>
      <c r="G58" s="15"/>
      <c r="H58" s="15"/>
      <c r="I58" s="15"/>
      <c r="J58" s="15"/>
      <c r="K58" s="15"/>
    </row>
    <row r="59" spans="1:12" ht="24" customHeight="1" x14ac:dyDescent="0.2">
      <c r="A59" s="84" t="s">
        <v>41</v>
      </c>
      <c r="B59" s="84"/>
      <c r="C59" s="84"/>
      <c r="D59" s="84"/>
      <c r="E59" s="84"/>
      <c r="F59" s="84"/>
      <c r="G59" s="84"/>
      <c r="H59" s="84"/>
      <c r="I59" s="84"/>
      <c r="J59" s="84"/>
      <c r="K59" s="50"/>
    </row>
    <row r="60" spans="1:12" ht="11.25" customHeight="1" x14ac:dyDescent="0.2">
      <c r="A60" s="76" t="s">
        <v>11</v>
      </c>
      <c r="B60" s="76"/>
      <c r="C60" s="76"/>
      <c r="D60" s="76"/>
      <c r="E60" s="76"/>
      <c r="F60" s="76"/>
      <c r="G60" s="76"/>
      <c r="H60" s="76"/>
      <c r="I60" s="76"/>
      <c r="J60" s="76"/>
      <c r="K60" s="51"/>
      <c r="L60" s="52"/>
    </row>
    <row r="61" spans="1:12" ht="8.25" customHeight="1" x14ac:dyDescent="0.2">
      <c r="A61" s="64"/>
      <c r="B61" s="64"/>
      <c r="C61" s="64"/>
      <c r="D61" s="14"/>
      <c r="E61" s="15"/>
      <c r="F61" s="15"/>
      <c r="G61" s="15"/>
      <c r="H61" s="15"/>
      <c r="I61" s="15"/>
      <c r="J61" s="15"/>
      <c r="K61" s="15"/>
    </row>
    <row r="62" spans="1:12" ht="8.25" customHeight="1" x14ac:dyDescent="0.2">
      <c r="A62" s="64"/>
      <c r="B62" s="64"/>
      <c r="C62" s="64"/>
      <c r="D62" s="14"/>
      <c r="E62" s="15"/>
      <c r="F62" s="15"/>
      <c r="G62" s="15"/>
      <c r="H62" s="15"/>
      <c r="I62" s="15"/>
      <c r="J62" s="15"/>
      <c r="K62" s="15"/>
    </row>
    <row r="63" spans="1:12" ht="8.25" customHeight="1" x14ac:dyDescent="0.2">
      <c r="A63" s="64"/>
      <c r="B63" s="64"/>
      <c r="C63" s="64"/>
      <c r="D63" s="14"/>
      <c r="E63" s="15"/>
      <c r="F63" s="15"/>
      <c r="G63" s="15"/>
      <c r="H63" s="15"/>
      <c r="I63" s="15"/>
      <c r="J63" s="15"/>
      <c r="K63" s="15"/>
    </row>
    <row r="64" spans="1:12" x14ac:dyDescent="0.2">
      <c r="A64" s="64"/>
      <c r="B64" s="64"/>
      <c r="C64" s="64"/>
      <c r="D64" s="14"/>
      <c r="E64" s="15"/>
      <c r="F64" s="15"/>
      <c r="G64" s="15"/>
      <c r="H64" s="15"/>
      <c r="I64" s="15"/>
      <c r="J64" s="15"/>
      <c r="K64" s="15"/>
    </row>
    <row r="65" spans="2:11" x14ac:dyDescent="0.2">
      <c r="K65" s="16"/>
    </row>
    <row r="66" spans="2:11" ht="19.5" thickBot="1" x14ac:dyDescent="0.35">
      <c r="B66" s="82" t="s">
        <v>42</v>
      </c>
      <c r="C66" s="82"/>
      <c r="D66" s="82"/>
      <c r="E66" s="82"/>
      <c r="F66" s="82"/>
      <c r="G66" s="82"/>
      <c r="H66" s="82"/>
      <c r="I66" s="82"/>
      <c r="J66" s="82"/>
      <c r="K66" s="16"/>
    </row>
    <row r="67" spans="2:11" ht="12.75" x14ac:dyDescent="0.2">
      <c r="B67" s="10"/>
      <c r="C67" s="10"/>
      <c r="D67" s="10"/>
      <c r="E67" s="10"/>
      <c r="F67" s="10"/>
      <c r="G67" s="10"/>
      <c r="H67" s="10"/>
      <c r="I67" s="10"/>
      <c r="J67" s="10"/>
      <c r="K67" s="16"/>
    </row>
    <row r="68" spans="2:11" ht="54" customHeight="1" x14ac:dyDescent="0.2">
      <c r="B68" s="72" t="s">
        <v>43</v>
      </c>
      <c r="C68" s="72"/>
      <c r="D68" s="72"/>
      <c r="E68" s="72"/>
      <c r="F68" s="72"/>
      <c r="G68" s="72"/>
      <c r="H68" s="72"/>
      <c r="I68" s="72"/>
      <c r="J68" s="72"/>
      <c r="K68" s="16"/>
    </row>
    <row r="69" spans="2:11" ht="12" thickBot="1" x14ac:dyDescent="0.25">
      <c r="K69" s="16"/>
    </row>
    <row r="70" spans="2:11" x14ac:dyDescent="0.2">
      <c r="B70" s="65" t="s">
        <v>44</v>
      </c>
      <c r="C70" s="17" t="s">
        <v>45</v>
      </c>
      <c r="D70" s="18"/>
      <c r="E70" s="19"/>
      <c r="F70" s="20">
        <v>1.96</v>
      </c>
      <c r="G70" s="21" t="s">
        <v>46</v>
      </c>
      <c r="H70" s="18"/>
      <c r="I70" s="21"/>
      <c r="J70" s="22">
        <v>2.58</v>
      </c>
      <c r="K70" s="16"/>
    </row>
    <row r="71" spans="2:11" ht="15" customHeight="1" x14ac:dyDescent="0.2">
      <c r="B71" s="66"/>
      <c r="C71" s="68" t="s">
        <v>36</v>
      </c>
      <c r="D71" s="69"/>
      <c r="E71" s="69"/>
      <c r="F71" s="70"/>
      <c r="G71" s="68" t="s">
        <v>36</v>
      </c>
      <c r="H71" s="69"/>
      <c r="I71" s="69"/>
      <c r="J71" s="71"/>
      <c r="K71" s="16"/>
    </row>
    <row r="72" spans="2:11" ht="10.5" customHeight="1" thickBot="1" x14ac:dyDescent="0.25">
      <c r="B72" s="67"/>
      <c r="C72" s="23">
        <v>0.05</v>
      </c>
      <c r="D72" s="23">
        <v>3.5000000000000003E-2</v>
      </c>
      <c r="E72" s="23">
        <v>2.5000000000000001E-2</v>
      </c>
      <c r="F72" s="23">
        <v>0.01</v>
      </c>
      <c r="G72" s="23">
        <v>0.05</v>
      </c>
      <c r="H72" s="23">
        <v>3.5000000000000003E-2</v>
      </c>
      <c r="I72" s="23">
        <v>2.5000000000000001E-2</v>
      </c>
      <c r="J72" s="24">
        <v>0.01</v>
      </c>
      <c r="K72" s="16"/>
    </row>
    <row r="73" spans="2:11" ht="10.5" customHeight="1" thickTop="1" x14ac:dyDescent="0.2">
      <c r="B73" s="25">
        <v>10</v>
      </c>
      <c r="C73" s="26">
        <f t="shared" ref="C73:F92" si="0">ROUNDUP((((POWER($F$70,2)*0.5*(1-0.5))/(POWER(C$72,2)))/(1+((POWER($F$70,2)*0.5*(1-0.5))/(POWER(C$72,2)*$B73)))),0)</f>
        <v>10</v>
      </c>
      <c r="D73" s="26">
        <f t="shared" si="0"/>
        <v>10</v>
      </c>
      <c r="E73" s="26">
        <f t="shared" si="0"/>
        <v>10</v>
      </c>
      <c r="F73" s="26">
        <f t="shared" si="0"/>
        <v>10</v>
      </c>
      <c r="G73" s="26">
        <f t="shared" ref="G73:J92" si="1">ROUNDUP((((POWER($J$70,2)*0.5*(1-0.5))/(POWER(G$72,2)))/(1+((POWER($J$70,2)*0.5*(1-0.5))/(POWER(G$72,2)*$B73)))),0)</f>
        <v>10</v>
      </c>
      <c r="H73" s="26">
        <f t="shared" si="1"/>
        <v>10</v>
      </c>
      <c r="I73" s="26">
        <f t="shared" si="1"/>
        <v>10</v>
      </c>
      <c r="J73" s="27">
        <f t="shared" si="1"/>
        <v>10</v>
      </c>
      <c r="K73" s="16"/>
    </row>
    <row r="74" spans="2:11" ht="10.5" customHeight="1" x14ac:dyDescent="0.2">
      <c r="B74" s="25">
        <v>20</v>
      </c>
      <c r="C74" s="26">
        <f t="shared" si="0"/>
        <v>20</v>
      </c>
      <c r="D74" s="26">
        <f t="shared" si="0"/>
        <v>20</v>
      </c>
      <c r="E74" s="26">
        <f t="shared" si="0"/>
        <v>20</v>
      </c>
      <c r="F74" s="26">
        <f t="shared" si="0"/>
        <v>20</v>
      </c>
      <c r="G74" s="26">
        <f t="shared" si="1"/>
        <v>20</v>
      </c>
      <c r="H74" s="26">
        <f t="shared" si="1"/>
        <v>20</v>
      </c>
      <c r="I74" s="26">
        <f t="shared" si="1"/>
        <v>20</v>
      </c>
      <c r="J74" s="27">
        <f t="shared" si="1"/>
        <v>20</v>
      </c>
      <c r="K74" s="16"/>
    </row>
    <row r="75" spans="2:11" ht="10.5" customHeight="1" x14ac:dyDescent="0.2">
      <c r="B75" s="25">
        <v>30</v>
      </c>
      <c r="C75" s="26">
        <f t="shared" si="0"/>
        <v>28</v>
      </c>
      <c r="D75" s="26">
        <f t="shared" si="0"/>
        <v>29</v>
      </c>
      <c r="E75" s="26">
        <f t="shared" si="0"/>
        <v>30</v>
      </c>
      <c r="F75" s="26">
        <f t="shared" si="0"/>
        <v>30</v>
      </c>
      <c r="G75" s="26">
        <f t="shared" si="1"/>
        <v>29</v>
      </c>
      <c r="H75" s="26">
        <f t="shared" si="1"/>
        <v>30</v>
      </c>
      <c r="I75" s="26">
        <f t="shared" si="1"/>
        <v>30</v>
      </c>
      <c r="J75" s="27">
        <f t="shared" si="1"/>
        <v>30</v>
      </c>
    </row>
    <row r="76" spans="2:11" ht="10.5" customHeight="1" x14ac:dyDescent="0.2">
      <c r="B76" s="25">
        <v>50</v>
      </c>
      <c r="C76" s="26">
        <f t="shared" si="0"/>
        <v>45</v>
      </c>
      <c r="D76" s="26">
        <f t="shared" si="0"/>
        <v>48</v>
      </c>
      <c r="E76" s="26">
        <f t="shared" si="0"/>
        <v>49</v>
      </c>
      <c r="F76" s="26">
        <f t="shared" si="0"/>
        <v>50</v>
      </c>
      <c r="G76" s="26">
        <f t="shared" si="1"/>
        <v>47</v>
      </c>
      <c r="H76" s="26">
        <f t="shared" si="1"/>
        <v>49</v>
      </c>
      <c r="I76" s="26">
        <f t="shared" si="1"/>
        <v>50</v>
      </c>
      <c r="J76" s="27">
        <f t="shared" si="1"/>
        <v>50</v>
      </c>
    </row>
    <row r="77" spans="2:11" ht="10.5" customHeight="1" x14ac:dyDescent="0.2">
      <c r="B77" s="28">
        <v>75</v>
      </c>
      <c r="C77" s="29">
        <f t="shared" si="0"/>
        <v>63</v>
      </c>
      <c r="D77" s="29">
        <f t="shared" si="0"/>
        <v>69</v>
      </c>
      <c r="E77" s="29">
        <f t="shared" si="0"/>
        <v>72</v>
      </c>
      <c r="F77" s="29">
        <f t="shared" si="0"/>
        <v>75</v>
      </c>
      <c r="G77" s="29">
        <f t="shared" si="1"/>
        <v>68</v>
      </c>
      <c r="H77" s="29">
        <f t="shared" si="1"/>
        <v>72</v>
      </c>
      <c r="I77" s="29">
        <f t="shared" si="1"/>
        <v>73</v>
      </c>
      <c r="J77" s="30">
        <f t="shared" si="1"/>
        <v>75</v>
      </c>
    </row>
    <row r="78" spans="2:11" ht="10.5" customHeight="1" x14ac:dyDescent="0.2">
      <c r="B78" s="25">
        <v>100</v>
      </c>
      <c r="C78" s="26">
        <f t="shared" si="0"/>
        <v>80</v>
      </c>
      <c r="D78" s="26">
        <f t="shared" si="0"/>
        <v>89</v>
      </c>
      <c r="E78" s="26">
        <f t="shared" si="0"/>
        <v>94</v>
      </c>
      <c r="F78" s="26">
        <f t="shared" si="0"/>
        <v>99</v>
      </c>
      <c r="G78" s="26">
        <f t="shared" si="1"/>
        <v>87</v>
      </c>
      <c r="H78" s="26">
        <f t="shared" si="1"/>
        <v>94</v>
      </c>
      <c r="I78" s="26">
        <f t="shared" si="1"/>
        <v>97</v>
      </c>
      <c r="J78" s="27">
        <f t="shared" si="1"/>
        <v>100</v>
      </c>
    </row>
    <row r="79" spans="2:11" ht="10.5" customHeight="1" x14ac:dyDescent="0.2">
      <c r="B79" s="25">
        <v>150</v>
      </c>
      <c r="C79" s="26">
        <f t="shared" si="0"/>
        <v>108</v>
      </c>
      <c r="D79" s="26">
        <f t="shared" si="0"/>
        <v>126</v>
      </c>
      <c r="E79" s="26">
        <f t="shared" si="0"/>
        <v>137</v>
      </c>
      <c r="F79" s="26">
        <f t="shared" si="0"/>
        <v>148</v>
      </c>
      <c r="G79" s="26">
        <f t="shared" si="1"/>
        <v>123</v>
      </c>
      <c r="H79" s="26">
        <f t="shared" si="1"/>
        <v>136</v>
      </c>
      <c r="I79" s="26">
        <f t="shared" si="1"/>
        <v>143</v>
      </c>
      <c r="J79" s="27">
        <f t="shared" si="1"/>
        <v>149</v>
      </c>
    </row>
    <row r="80" spans="2:11" ht="10.5" customHeight="1" x14ac:dyDescent="0.2">
      <c r="B80" s="25">
        <v>200</v>
      </c>
      <c r="C80" s="26">
        <f t="shared" si="0"/>
        <v>132</v>
      </c>
      <c r="D80" s="26">
        <f t="shared" si="0"/>
        <v>160</v>
      </c>
      <c r="E80" s="26">
        <f t="shared" si="0"/>
        <v>177</v>
      </c>
      <c r="F80" s="26">
        <f t="shared" si="0"/>
        <v>196</v>
      </c>
      <c r="G80" s="26">
        <f t="shared" si="1"/>
        <v>154</v>
      </c>
      <c r="H80" s="26">
        <f t="shared" si="1"/>
        <v>175</v>
      </c>
      <c r="I80" s="26">
        <f t="shared" si="1"/>
        <v>187</v>
      </c>
      <c r="J80" s="27">
        <f t="shared" si="1"/>
        <v>198</v>
      </c>
    </row>
    <row r="81" spans="2:10" ht="10.5" customHeight="1" x14ac:dyDescent="0.2">
      <c r="B81" s="25">
        <v>250</v>
      </c>
      <c r="C81" s="26">
        <f t="shared" si="0"/>
        <v>152</v>
      </c>
      <c r="D81" s="26">
        <f t="shared" si="0"/>
        <v>190</v>
      </c>
      <c r="E81" s="26">
        <f t="shared" si="0"/>
        <v>216</v>
      </c>
      <c r="F81" s="26">
        <f t="shared" si="0"/>
        <v>244</v>
      </c>
      <c r="G81" s="26">
        <f t="shared" si="1"/>
        <v>182</v>
      </c>
      <c r="H81" s="26">
        <f t="shared" si="1"/>
        <v>212</v>
      </c>
      <c r="I81" s="26">
        <f t="shared" si="1"/>
        <v>229</v>
      </c>
      <c r="J81" s="27">
        <f t="shared" si="1"/>
        <v>247</v>
      </c>
    </row>
    <row r="82" spans="2:10" ht="10.5" customHeight="1" x14ac:dyDescent="0.2">
      <c r="B82" s="28">
        <v>300</v>
      </c>
      <c r="C82" s="29">
        <f t="shared" si="0"/>
        <v>169</v>
      </c>
      <c r="D82" s="29">
        <f t="shared" si="0"/>
        <v>217</v>
      </c>
      <c r="E82" s="29">
        <f t="shared" si="0"/>
        <v>251</v>
      </c>
      <c r="F82" s="29">
        <f t="shared" si="0"/>
        <v>291</v>
      </c>
      <c r="G82" s="29">
        <f t="shared" si="1"/>
        <v>207</v>
      </c>
      <c r="H82" s="29">
        <f t="shared" si="1"/>
        <v>246</v>
      </c>
      <c r="I82" s="29">
        <f t="shared" si="1"/>
        <v>270</v>
      </c>
      <c r="J82" s="30">
        <f t="shared" si="1"/>
        <v>295</v>
      </c>
    </row>
    <row r="83" spans="2:10" ht="10.5" customHeight="1" x14ac:dyDescent="0.2">
      <c r="B83" s="25">
        <v>400</v>
      </c>
      <c r="C83" s="26">
        <f t="shared" si="0"/>
        <v>196</v>
      </c>
      <c r="D83" s="26">
        <f t="shared" si="0"/>
        <v>265</v>
      </c>
      <c r="E83" s="26">
        <f t="shared" si="0"/>
        <v>318</v>
      </c>
      <c r="F83" s="26">
        <f t="shared" si="0"/>
        <v>385</v>
      </c>
      <c r="G83" s="26">
        <f t="shared" si="1"/>
        <v>250</v>
      </c>
      <c r="H83" s="26">
        <f t="shared" si="1"/>
        <v>310</v>
      </c>
      <c r="I83" s="26">
        <f t="shared" si="1"/>
        <v>348</v>
      </c>
      <c r="J83" s="27">
        <f t="shared" si="1"/>
        <v>391</v>
      </c>
    </row>
    <row r="84" spans="2:10" ht="10.5" customHeight="1" x14ac:dyDescent="0.2">
      <c r="B84" s="25">
        <v>500</v>
      </c>
      <c r="C84" s="26">
        <f t="shared" si="0"/>
        <v>218</v>
      </c>
      <c r="D84" s="26">
        <f t="shared" si="0"/>
        <v>306</v>
      </c>
      <c r="E84" s="26">
        <f t="shared" si="0"/>
        <v>378</v>
      </c>
      <c r="F84" s="26">
        <f t="shared" si="0"/>
        <v>476</v>
      </c>
      <c r="G84" s="26">
        <f t="shared" si="1"/>
        <v>286</v>
      </c>
      <c r="H84" s="26">
        <f t="shared" si="1"/>
        <v>366</v>
      </c>
      <c r="I84" s="26">
        <f t="shared" si="1"/>
        <v>421</v>
      </c>
      <c r="J84" s="27">
        <f t="shared" si="1"/>
        <v>486</v>
      </c>
    </row>
    <row r="85" spans="2:10" ht="10.5" customHeight="1" x14ac:dyDescent="0.2">
      <c r="B85" s="25">
        <v>600</v>
      </c>
      <c r="C85" s="26">
        <f t="shared" si="0"/>
        <v>235</v>
      </c>
      <c r="D85" s="26">
        <f t="shared" si="0"/>
        <v>340</v>
      </c>
      <c r="E85" s="26">
        <f t="shared" si="0"/>
        <v>432</v>
      </c>
      <c r="F85" s="26">
        <f t="shared" si="0"/>
        <v>565</v>
      </c>
      <c r="G85" s="26">
        <f t="shared" si="1"/>
        <v>316</v>
      </c>
      <c r="H85" s="26">
        <f t="shared" si="1"/>
        <v>417</v>
      </c>
      <c r="I85" s="26">
        <f t="shared" si="1"/>
        <v>490</v>
      </c>
      <c r="J85" s="27">
        <f t="shared" si="1"/>
        <v>580</v>
      </c>
    </row>
    <row r="86" spans="2:10" ht="10.5" customHeight="1" x14ac:dyDescent="0.2">
      <c r="B86" s="25">
        <v>700</v>
      </c>
      <c r="C86" s="26">
        <f t="shared" si="0"/>
        <v>249</v>
      </c>
      <c r="D86" s="26">
        <f t="shared" si="0"/>
        <v>370</v>
      </c>
      <c r="E86" s="26">
        <f t="shared" si="0"/>
        <v>481</v>
      </c>
      <c r="F86" s="26">
        <f t="shared" si="0"/>
        <v>653</v>
      </c>
      <c r="G86" s="26">
        <f t="shared" si="1"/>
        <v>342</v>
      </c>
      <c r="H86" s="26">
        <f t="shared" si="1"/>
        <v>462</v>
      </c>
      <c r="I86" s="26">
        <f t="shared" si="1"/>
        <v>555</v>
      </c>
      <c r="J86" s="27">
        <f t="shared" si="1"/>
        <v>672</v>
      </c>
    </row>
    <row r="87" spans="2:10" ht="10.5" customHeight="1" x14ac:dyDescent="0.2">
      <c r="B87" s="28">
        <v>800</v>
      </c>
      <c r="C87" s="29">
        <f t="shared" si="0"/>
        <v>260</v>
      </c>
      <c r="D87" s="29">
        <f t="shared" si="0"/>
        <v>396</v>
      </c>
      <c r="E87" s="29">
        <f t="shared" si="0"/>
        <v>527</v>
      </c>
      <c r="F87" s="29">
        <f t="shared" si="0"/>
        <v>739</v>
      </c>
      <c r="G87" s="29">
        <f t="shared" si="1"/>
        <v>364</v>
      </c>
      <c r="H87" s="29">
        <f t="shared" si="1"/>
        <v>504</v>
      </c>
      <c r="I87" s="29">
        <f t="shared" si="1"/>
        <v>616</v>
      </c>
      <c r="J87" s="30">
        <f t="shared" si="1"/>
        <v>764</v>
      </c>
    </row>
    <row r="88" spans="2:10" ht="10.5" customHeight="1" x14ac:dyDescent="0.2">
      <c r="B88" s="25">
        <v>1000</v>
      </c>
      <c r="C88" s="26">
        <f t="shared" si="0"/>
        <v>278</v>
      </c>
      <c r="D88" s="26">
        <f t="shared" si="0"/>
        <v>440</v>
      </c>
      <c r="E88" s="26">
        <f t="shared" si="0"/>
        <v>606</v>
      </c>
      <c r="F88" s="26">
        <f t="shared" si="0"/>
        <v>906</v>
      </c>
      <c r="G88" s="26">
        <f t="shared" si="1"/>
        <v>400</v>
      </c>
      <c r="H88" s="26">
        <f t="shared" si="1"/>
        <v>576</v>
      </c>
      <c r="I88" s="26">
        <f t="shared" si="1"/>
        <v>727</v>
      </c>
      <c r="J88" s="27">
        <f t="shared" si="1"/>
        <v>944</v>
      </c>
    </row>
    <row r="89" spans="2:10" ht="10.5" customHeight="1" x14ac:dyDescent="0.2">
      <c r="B89" s="25">
        <v>1200</v>
      </c>
      <c r="C89" s="26">
        <f t="shared" si="0"/>
        <v>292</v>
      </c>
      <c r="D89" s="26">
        <f t="shared" si="0"/>
        <v>475</v>
      </c>
      <c r="E89" s="26">
        <f t="shared" si="0"/>
        <v>674</v>
      </c>
      <c r="F89" s="26">
        <f t="shared" si="0"/>
        <v>1067</v>
      </c>
      <c r="G89" s="26">
        <f t="shared" si="1"/>
        <v>429</v>
      </c>
      <c r="H89" s="26">
        <f t="shared" si="1"/>
        <v>638</v>
      </c>
      <c r="I89" s="26">
        <f t="shared" si="1"/>
        <v>828</v>
      </c>
      <c r="J89" s="27">
        <f t="shared" si="1"/>
        <v>1120</v>
      </c>
    </row>
    <row r="90" spans="2:10" ht="10.5" customHeight="1" x14ac:dyDescent="0.2">
      <c r="B90" s="25">
        <v>1500</v>
      </c>
      <c r="C90" s="26">
        <f t="shared" si="0"/>
        <v>306</v>
      </c>
      <c r="D90" s="26">
        <f t="shared" si="0"/>
        <v>515</v>
      </c>
      <c r="E90" s="26">
        <f t="shared" si="0"/>
        <v>760</v>
      </c>
      <c r="F90" s="26">
        <f t="shared" si="0"/>
        <v>1298</v>
      </c>
      <c r="G90" s="26">
        <f t="shared" si="1"/>
        <v>462</v>
      </c>
      <c r="H90" s="26">
        <f t="shared" si="1"/>
        <v>713</v>
      </c>
      <c r="I90" s="26">
        <f t="shared" si="1"/>
        <v>960</v>
      </c>
      <c r="J90" s="27">
        <f t="shared" si="1"/>
        <v>1376</v>
      </c>
    </row>
    <row r="91" spans="2:10" ht="10.5" customHeight="1" x14ac:dyDescent="0.2">
      <c r="B91" s="25">
        <v>2000</v>
      </c>
      <c r="C91" s="26">
        <f t="shared" si="0"/>
        <v>323</v>
      </c>
      <c r="D91" s="26">
        <f t="shared" si="0"/>
        <v>564</v>
      </c>
      <c r="E91" s="26">
        <f t="shared" si="0"/>
        <v>869</v>
      </c>
      <c r="F91" s="26">
        <f t="shared" si="0"/>
        <v>1656</v>
      </c>
      <c r="G91" s="26">
        <f t="shared" si="1"/>
        <v>500</v>
      </c>
      <c r="H91" s="26">
        <f t="shared" si="1"/>
        <v>809</v>
      </c>
      <c r="I91" s="26">
        <f t="shared" si="1"/>
        <v>1143</v>
      </c>
      <c r="J91" s="27">
        <f t="shared" si="1"/>
        <v>1786</v>
      </c>
    </row>
    <row r="92" spans="2:10" ht="10.5" customHeight="1" x14ac:dyDescent="0.2">
      <c r="B92" s="28">
        <v>2500</v>
      </c>
      <c r="C92" s="29">
        <f t="shared" si="0"/>
        <v>333</v>
      </c>
      <c r="D92" s="29">
        <f t="shared" si="0"/>
        <v>597</v>
      </c>
      <c r="E92" s="29">
        <f t="shared" si="0"/>
        <v>952</v>
      </c>
      <c r="F92" s="29">
        <f t="shared" si="0"/>
        <v>1984</v>
      </c>
      <c r="G92" s="29">
        <f t="shared" si="1"/>
        <v>526</v>
      </c>
      <c r="H92" s="29">
        <f t="shared" si="1"/>
        <v>881</v>
      </c>
      <c r="I92" s="29">
        <f t="shared" si="1"/>
        <v>1290</v>
      </c>
      <c r="J92" s="30">
        <f t="shared" si="1"/>
        <v>2174</v>
      </c>
    </row>
    <row r="93" spans="2:10" ht="10.5" customHeight="1" x14ac:dyDescent="0.2">
      <c r="B93" s="25">
        <v>3500</v>
      </c>
      <c r="C93" s="26">
        <f t="shared" ref="C93:F107" si="2">ROUNDUP((((POWER($F$70,2)*0.5*(1-0.5))/(POWER(C$72,2)))/(1+((POWER($F$70,2)*0.5*(1-0.5))/(POWER(C$72,2)*$B93)))),0)</f>
        <v>347</v>
      </c>
      <c r="D93" s="26">
        <f t="shared" si="2"/>
        <v>641</v>
      </c>
      <c r="E93" s="26">
        <f t="shared" si="2"/>
        <v>1068</v>
      </c>
      <c r="F93" s="26">
        <f t="shared" si="2"/>
        <v>2566</v>
      </c>
      <c r="G93" s="26">
        <f t="shared" ref="G93:J107" si="3">ROUNDUP((((POWER($J$70,2)*0.5*(1-0.5))/(POWER(G$72,2)))/(1+((POWER($J$70,2)*0.5*(1-0.5))/(POWER(G$72,2)*$B93)))),0)</f>
        <v>560</v>
      </c>
      <c r="H93" s="26">
        <f t="shared" si="3"/>
        <v>979</v>
      </c>
      <c r="I93" s="26">
        <f t="shared" si="3"/>
        <v>1513</v>
      </c>
      <c r="J93" s="27">
        <f t="shared" si="3"/>
        <v>2892</v>
      </c>
    </row>
    <row r="94" spans="2:10" ht="10.5" customHeight="1" x14ac:dyDescent="0.2">
      <c r="B94" s="25">
        <v>5000</v>
      </c>
      <c r="C94" s="26">
        <f t="shared" si="2"/>
        <v>357</v>
      </c>
      <c r="D94" s="26">
        <f t="shared" si="2"/>
        <v>678</v>
      </c>
      <c r="E94" s="26">
        <f t="shared" si="2"/>
        <v>1176</v>
      </c>
      <c r="F94" s="26">
        <f t="shared" si="2"/>
        <v>3289</v>
      </c>
      <c r="G94" s="26">
        <f t="shared" si="3"/>
        <v>588</v>
      </c>
      <c r="H94" s="26">
        <f t="shared" si="3"/>
        <v>1069</v>
      </c>
      <c r="I94" s="26">
        <f t="shared" si="3"/>
        <v>1738</v>
      </c>
      <c r="J94" s="27">
        <f t="shared" si="3"/>
        <v>3845</v>
      </c>
    </row>
    <row r="95" spans="2:10" ht="10.5" customHeight="1" x14ac:dyDescent="0.2">
      <c r="B95" s="25">
        <v>7500</v>
      </c>
      <c r="C95" s="26">
        <f t="shared" si="2"/>
        <v>366</v>
      </c>
      <c r="D95" s="26">
        <f t="shared" si="2"/>
        <v>710</v>
      </c>
      <c r="E95" s="26">
        <f t="shared" si="2"/>
        <v>1276</v>
      </c>
      <c r="F95" s="26">
        <f t="shared" si="2"/>
        <v>4212</v>
      </c>
      <c r="G95" s="26">
        <f t="shared" si="3"/>
        <v>612</v>
      </c>
      <c r="H95" s="26">
        <f t="shared" si="3"/>
        <v>1151</v>
      </c>
      <c r="I95" s="26">
        <f t="shared" si="3"/>
        <v>1965</v>
      </c>
      <c r="J95" s="27">
        <f t="shared" si="3"/>
        <v>5170</v>
      </c>
    </row>
    <row r="96" spans="2:10" ht="10.5" customHeight="1" x14ac:dyDescent="0.2">
      <c r="B96" s="25">
        <v>10000</v>
      </c>
      <c r="C96" s="26">
        <f t="shared" si="2"/>
        <v>370</v>
      </c>
      <c r="D96" s="26">
        <f t="shared" si="2"/>
        <v>728</v>
      </c>
      <c r="E96" s="26">
        <f t="shared" si="2"/>
        <v>1332</v>
      </c>
      <c r="F96" s="26">
        <f t="shared" si="2"/>
        <v>4900</v>
      </c>
      <c r="G96" s="26">
        <f t="shared" si="3"/>
        <v>625</v>
      </c>
      <c r="H96" s="26">
        <f t="shared" si="3"/>
        <v>1196</v>
      </c>
      <c r="I96" s="26">
        <f t="shared" si="3"/>
        <v>2103</v>
      </c>
      <c r="J96" s="27">
        <f t="shared" si="3"/>
        <v>6247</v>
      </c>
    </row>
    <row r="97" spans="1:12" ht="10.5" customHeight="1" x14ac:dyDescent="0.2">
      <c r="B97" s="28">
        <v>25000</v>
      </c>
      <c r="C97" s="29">
        <f t="shared" si="2"/>
        <v>379</v>
      </c>
      <c r="D97" s="29">
        <f t="shared" si="2"/>
        <v>761</v>
      </c>
      <c r="E97" s="29">
        <f t="shared" si="2"/>
        <v>1448</v>
      </c>
      <c r="F97" s="29">
        <f t="shared" si="2"/>
        <v>6939</v>
      </c>
      <c r="G97" s="29">
        <f t="shared" si="3"/>
        <v>649</v>
      </c>
      <c r="H97" s="29">
        <f t="shared" si="3"/>
        <v>1289</v>
      </c>
      <c r="I97" s="29">
        <f t="shared" si="3"/>
        <v>2407</v>
      </c>
      <c r="J97" s="30">
        <f t="shared" si="3"/>
        <v>9991</v>
      </c>
    </row>
    <row r="98" spans="1:12" ht="10.5" customHeight="1" x14ac:dyDescent="0.2">
      <c r="B98" s="25">
        <v>50000</v>
      </c>
      <c r="C98" s="26">
        <f t="shared" si="2"/>
        <v>382</v>
      </c>
      <c r="D98" s="26">
        <f t="shared" si="2"/>
        <v>772</v>
      </c>
      <c r="E98" s="26">
        <f t="shared" si="2"/>
        <v>1491</v>
      </c>
      <c r="F98" s="26">
        <f t="shared" si="2"/>
        <v>8057</v>
      </c>
      <c r="G98" s="26">
        <f t="shared" si="3"/>
        <v>657</v>
      </c>
      <c r="H98" s="26">
        <f t="shared" si="3"/>
        <v>1323</v>
      </c>
      <c r="I98" s="26">
        <f t="shared" si="3"/>
        <v>2528</v>
      </c>
      <c r="J98" s="27">
        <f t="shared" si="3"/>
        <v>12486</v>
      </c>
    </row>
    <row r="99" spans="1:12" ht="10.5" customHeight="1" x14ac:dyDescent="0.2">
      <c r="B99" s="25">
        <v>75000</v>
      </c>
      <c r="C99" s="26">
        <f t="shared" si="2"/>
        <v>383</v>
      </c>
      <c r="D99" s="26">
        <f t="shared" si="2"/>
        <v>776</v>
      </c>
      <c r="E99" s="26">
        <f t="shared" si="2"/>
        <v>1506</v>
      </c>
      <c r="F99" s="26">
        <f t="shared" si="2"/>
        <v>8514</v>
      </c>
      <c r="G99" s="26">
        <f t="shared" si="3"/>
        <v>660</v>
      </c>
      <c r="H99" s="26">
        <f t="shared" si="3"/>
        <v>1335</v>
      </c>
      <c r="I99" s="26">
        <f t="shared" si="3"/>
        <v>2572</v>
      </c>
      <c r="J99" s="27">
        <f t="shared" si="3"/>
        <v>13620</v>
      </c>
    </row>
    <row r="100" spans="1:12" ht="10.5" customHeight="1" x14ac:dyDescent="0.2">
      <c r="B100" s="25">
        <v>100000</v>
      </c>
      <c r="C100" s="26">
        <f t="shared" si="2"/>
        <v>383</v>
      </c>
      <c r="D100" s="26">
        <f t="shared" si="2"/>
        <v>778</v>
      </c>
      <c r="E100" s="26">
        <f t="shared" si="2"/>
        <v>1514</v>
      </c>
      <c r="F100" s="26">
        <f t="shared" si="2"/>
        <v>8763</v>
      </c>
      <c r="G100" s="26">
        <f t="shared" si="3"/>
        <v>662</v>
      </c>
      <c r="H100" s="26">
        <f t="shared" si="3"/>
        <v>1341</v>
      </c>
      <c r="I100" s="26">
        <f t="shared" si="3"/>
        <v>2594</v>
      </c>
      <c r="J100" s="27">
        <f t="shared" si="3"/>
        <v>14267</v>
      </c>
    </row>
    <row r="101" spans="1:12" ht="10.5" customHeight="1" x14ac:dyDescent="0.2">
      <c r="B101" s="25">
        <v>250000</v>
      </c>
      <c r="C101" s="26">
        <f t="shared" si="2"/>
        <v>384</v>
      </c>
      <c r="D101" s="26">
        <f t="shared" si="2"/>
        <v>782</v>
      </c>
      <c r="E101" s="26">
        <f t="shared" si="2"/>
        <v>1528</v>
      </c>
      <c r="F101" s="26">
        <f t="shared" si="2"/>
        <v>9249</v>
      </c>
      <c r="G101" s="26">
        <f t="shared" si="3"/>
        <v>664</v>
      </c>
      <c r="H101" s="26">
        <f t="shared" si="3"/>
        <v>1352</v>
      </c>
      <c r="I101" s="26">
        <f t="shared" si="3"/>
        <v>2635</v>
      </c>
      <c r="J101" s="27">
        <f t="shared" si="3"/>
        <v>15603</v>
      </c>
    </row>
    <row r="102" spans="1:12" ht="10.5" customHeight="1" x14ac:dyDescent="0.2">
      <c r="B102" s="28">
        <v>500000</v>
      </c>
      <c r="C102" s="29">
        <f t="shared" si="2"/>
        <v>384</v>
      </c>
      <c r="D102" s="29">
        <f t="shared" si="2"/>
        <v>783</v>
      </c>
      <c r="E102" s="29">
        <f t="shared" si="2"/>
        <v>1532</v>
      </c>
      <c r="F102" s="29">
        <f t="shared" si="2"/>
        <v>9424</v>
      </c>
      <c r="G102" s="29">
        <f t="shared" si="3"/>
        <v>665</v>
      </c>
      <c r="H102" s="29">
        <f t="shared" si="3"/>
        <v>1355</v>
      </c>
      <c r="I102" s="29">
        <f t="shared" si="3"/>
        <v>2649</v>
      </c>
      <c r="J102" s="30">
        <f t="shared" si="3"/>
        <v>16105</v>
      </c>
    </row>
    <row r="103" spans="1:12" ht="10.5" customHeight="1" x14ac:dyDescent="0.2">
      <c r="B103" s="25">
        <v>1000000</v>
      </c>
      <c r="C103" s="26">
        <f t="shared" si="2"/>
        <v>385</v>
      </c>
      <c r="D103" s="26">
        <f t="shared" si="2"/>
        <v>784</v>
      </c>
      <c r="E103" s="26">
        <f t="shared" si="2"/>
        <v>1535</v>
      </c>
      <c r="F103" s="26">
        <f t="shared" si="2"/>
        <v>9513</v>
      </c>
      <c r="G103" s="26">
        <f t="shared" si="3"/>
        <v>666</v>
      </c>
      <c r="H103" s="26">
        <f t="shared" si="3"/>
        <v>1357</v>
      </c>
      <c r="I103" s="26">
        <f t="shared" si="3"/>
        <v>2656</v>
      </c>
      <c r="J103" s="27">
        <f t="shared" si="3"/>
        <v>16369</v>
      </c>
    </row>
    <row r="104" spans="1:12" ht="10.5" customHeight="1" x14ac:dyDescent="0.2">
      <c r="B104" s="25">
        <v>2500000</v>
      </c>
      <c r="C104" s="26">
        <f t="shared" si="2"/>
        <v>385</v>
      </c>
      <c r="D104" s="26">
        <f t="shared" si="2"/>
        <v>784</v>
      </c>
      <c r="E104" s="26">
        <f t="shared" si="2"/>
        <v>1536</v>
      </c>
      <c r="F104" s="26">
        <f t="shared" si="2"/>
        <v>9568</v>
      </c>
      <c r="G104" s="26">
        <f t="shared" si="3"/>
        <v>666</v>
      </c>
      <c r="H104" s="26">
        <f t="shared" si="3"/>
        <v>1358</v>
      </c>
      <c r="I104" s="26">
        <f t="shared" si="3"/>
        <v>2660</v>
      </c>
      <c r="J104" s="27">
        <f t="shared" si="3"/>
        <v>16531</v>
      </c>
    </row>
    <row r="105" spans="1:12" ht="10.5" customHeight="1" x14ac:dyDescent="0.2">
      <c r="B105" s="25">
        <v>10000000</v>
      </c>
      <c r="C105" s="26">
        <f t="shared" si="2"/>
        <v>385</v>
      </c>
      <c r="D105" s="26">
        <f t="shared" si="2"/>
        <v>784</v>
      </c>
      <c r="E105" s="26">
        <f t="shared" si="2"/>
        <v>1537</v>
      </c>
      <c r="F105" s="26">
        <f t="shared" si="2"/>
        <v>9595</v>
      </c>
      <c r="G105" s="26">
        <f t="shared" si="3"/>
        <v>666</v>
      </c>
      <c r="H105" s="26">
        <f t="shared" si="3"/>
        <v>1359</v>
      </c>
      <c r="I105" s="26">
        <f t="shared" si="3"/>
        <v>2662</v>
      </c>
      <c r="J105" s="27">
        <f t="shared" si="3"/>
        <v>16614</v>
      </c>
    </row>
    <row r="106" spans="1:12" ht="10.5" customHeight="1" x14ac:dyDescent="0.2">
      <c r="B106" s="25">
        <v>100000000</v>
      </c>
      <c r="C106" s="26">
        <f t="shared" si="2"/>
        <v>385</v>
      </c>
      <c r="D106" s="26">
        <f t="shared" si="2"/>
        <v>784</v>
      </c>
      <c r="E106" s="26">
        <f t="shared" si="2"/>
        <v>1537</v>
      </c>
      <c r="F106" s="26">
        <f t="shared" si="2"/>
        <v>9604</v>
      </c>
      <c r="G106" s="26">
        <f t="shared" si="3"/>
        <v>666</v>
      </c>
      <c r="H106" s="26">
        <f t="shared" si="3"/>
        <v>1359</v>
      </c>
      <c r="I106" s="26">
        <f t="shared" si="3"/>
        <v>2663</v>
      </c>
      <c r="J106" s="27">
        <f t="shared" si="3"/>
        <v>16639</v>
      </c>
    </row>
    <row r="107" spans="1:12" ht="10.5" customHeight="1" thickBot="1" x14ac:dyDescent="0.25">
      <c r="B107" s="31">
        <v>300000000</v>
      </c>
      <c r="C107" s="32">
        <f t="shared" si="2"/>
        <v>385</v>
      </c>
      <c r="D107" s="32">
        <f t="shared" si="2"/>
        <v>784</v>
      </c>
      <c r="E107" s="32">
        <f t="shared" si="2"/>
        <v>1537</v>
      </c>
      <c r="F107" s="32">
        <f t="shared" si="2"/>
        <v>9604</v>
      </c>
      <c r="G107" s="32">
        <f t="shared" si="3"/>
        <v>666</v>
      </c>
      <c r="H107" s="32">
        <f t="shared" si="3"/>
        <v>1359</v>
      </c>
      <c r="I107" s="32">
        <f t="shared" si="3"/>
        <v>2663</v>
      </c>
      <c r="J107" s="33">
        <f t="shared" si="3"/>
        <v>16641</v>
      </c>
    </row>
    <row r="109" spans="1:12" ht="11.25" customHeight="1" x14ac:dyDescent="0.2">
      <c r="B109" s="77"/>
      <c r="C109" s="77"/>
      <c r="D109" s="77"/>
      <c r="E109" s="77"/>
      <c r="F109" s="77"/>
      <c r="G109" s="77"/>
      <c r="H109" s="77"/>
      <c r="I109" s="77"/>
      <c r="J109" s="77"/>
    </row>
    <row r="110" spans="1:12" ht="26.25" customHeight="1" x14ac:dyDescent="0.2">
      <c r="A110" s="84" t="s">
        <v>41</v>
      </c>
      <c r="B110" s="84"/>
      <c r="C110" s="84"/>
      <c r="D110" s="84"/>
      <c r="E110" s="84"/>
      <c r="F110" s="84"/>
      <c r="G110" s="84"/>
      <c r="H110" s="84"/>
      <c r="I110" s="84"/>
      <c r="J110" s="84"/>
    </row>
    <row r="111" spans="1:12" ht="11.25" customHeight="1" x14ac:dyDescent="0.2">
      <c r="A111" s="76" t="s">
        <v>11</v>
      </c>
      <c r="B111" s="76"/>
      <c r="C111" s="76"/>
      <c r="D111" s="76"/>
      <c r="E111" s="76"/>
      <c r="F111" s="76"/>
      <c r="G111" s="76"/>
      <c r="H111" s="76"/>
      <c r="I111" s="76"/>
      <c r="J111" s="76"/>
      <c r="K111" s="51"/>
      <c r="L111" s="52"/>
    </row>
  </sheetData>
  <sheetProtection formatCells="0" formatColumns="0" formatRows="0" insertColumns="0" insertRows="0" insertHyperlinks="0" deleteColumns="0" deleteRows="0" sort="0" autoFilter="0" pivotTables="0"/>
  <mergeCells count="21">
    <mergeCell ref="B109:J109"/>
    <mergeCell ref="A110:J110"/>
    <mergeCell ref="A111:J111"/>
    <mergeCell ref="A60:J60"/>
    <mergeCell ref="B66:J66"/>
    <mergeCell ref="B68:J68"/>
    <mergeCell ref="B70:B72"/>
    <mergeCell ref="C71:F71"/>
    <mergeCell ref="G71:J71"/>
    <mergeCell ref="C8:J8"/>
    <mergeCell ref="C9:J9"/>
    <mergeCell ref="D50:J50"/>
    <mergeCell ref="A51:C56"/>
    <mergeCell ref="D51:J56"/>
    <mergeCell ref="A59:J59"/>
    <mergeCell ref="B2:G2"/>
    <mergeCell ref="H2:J2"/>
    <mergeCell ref="C4:J4"/>
    <mergeCell ref="C5:J5"/>
    <mergeCell ref="C6:J6"/>
    <mergeCell ref="C7:J7"/>
  </mergeCells>
  <conditionalFormatting sqref="C72">
    <cfRule type="expression" dxfId="4" priority="4">
      <formula>C72=$C$14</formula>
    </cfRule>
  </conditionalFormatting>
  <conditionalFormatting sqref="D72:J72">
    <cfRule type="expression" dxfId="3" priority="3">
      <formula>D72=$C$14</formula>
    </cfRule>
  </conditionalFormatting>
  <conditionalFormatting sqref="F70">
    <cfRule type="expression" dxfId="2" priority="2">
      <formula>F70=$C$12</formula>
    </cfRule>
  </conditionalFormatting>
  <conditionalFormatting sqref="J70">
    <cfRule type="expression" dxfId="1" priority="1">
      <formula>J70=$C$12</formula>
    </cfRule>
  </conditionalFormatting>
  <conditionalFormatting sqref="C73:J107">
    <cfRule type="expression" dxfId="0" priority="5">
      <formula>C73=$H$12</formula>
    </cfRule>
  </conditionalFormatting>
  <dataValidations count="2">
    <dataValidation type="decimal" allowBlank="1" showInputMessage="1" showErrorMessage="1" sqref="C13:C14">
      <formula1>0</formula1>
      <formula2>1</formula2>
    </dataValidation>
    <dataValidation type="list" allowBlank="1" showInputMessage="1" showErrorMessage="1" sqref="C12">
      <formula1>"1.28,1.44,1.65,1.96,2.58"</formula1>
    </dataValidation>
  </dataValidations>
  <hyperlinks>
    <hyperlink ref="A60" r:id="rId1"/>
    <hyperlink ref="A111" r:id="rId2"/>
  </hyperlinks>
  <pageMargins left="0.7" right="0.7" top="0.75" bottom="0.75" header="0.3" footer="0.3"/>
  <pageSetup orientation="portrait" verticalDpi="0" r:id="rId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B1:C5"/>
  <sheetViews>
    <sheetView showGridLines="0" showRuler="0" view="pageLayout" zoomScale="85" zoomScaleNormal="85" zoomScalePageLayoutView="85" workbookViewId="0">
      <selection activeCell="B1" sqref="B1"/>
    </sheetView>
  </sheetViews>
  <sheetFormatPr baseColWidth="10" defaultRowHeight="15" x14ac:dyDescent="0.25"/>
  <cols>
    <col min="1" max="1" width="6" style="56" customWidth="1"/>
    <col min="2" max="2" width="75" style="56" customWidth="1"/>
    <col min="3" max="16384" width="11.42578125" style="56"/>
  </cols>
  <sheetData>
    <row r="1" spans="2:3" ht="34.5" customHeight="1" thickBot="1" x14ac:dyDescent="0.3">
      <c r="B1" s="63"/>
      <c r="C1" s="63"/>
    </row>
    <row r="2" spans="2:3" ht="384" customHeight="1" thickTop="1" x14ac:dyDescent="0.25">
      <c r="B2" s="92" t="s">
        <v>23</v>
      </c>
      <c r="C2" s="92"/>
    </row>
    <row r="3" spans="2:3" ht="15.75" thickBot="1" x14ac:dyDescent="0.3">
      <c r="B3" s="62" t="s">
        <v>14</v>
      </c>
      <c r="C3" s="62"/>
    </row>
    <row r="4" spans="2:3" ht="33" customHeight="1" thickTop="1" x14ac:dyDescent="0.25">
      <c r="B4" s="57" t="s">
        <v>20</v>
      </c>
    </row>
    <row r="5" spans="2:3" x14ac:dyDescent="0.25">
      <c r="B5" s="61" t="s">
        <v>11</v>
      </c>
    </row>
  </sheetData>
  <mergeCells count="1">
    <mergeCell ref="B2:C2"/>
  </mergeCells>
  <hyperlinks>
    <hyperlink ref="B3" r:id="rId1"/>
    <hyperlink ref="B5" r:id="rId2"/>
  </hyperlinks>
  <pageMargins left="0.25" right="0.25" top="0.75" bottom="0.75" header="0.3" footer="0.3"/>
  <pageSetup orientation="portrait" verticalDpi="0"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SampleCalc Eng</vt:lpstr>
      <vt:lpstr>SampleCalc Spa</vt:lpstr>
      <vt:lpstr>License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Sample Calculator - me-box</dc:title>
  <dc:creator>Rene A. Casana</dc:creator>
  <cp:keywords>Tool;Sample Calculator;Github;Monitoring;Evaluation;Statistics</cp:keywords>
  <cp:lastModifiedBy>Rene Casaña</cp:lastModifiedBy>
  <dcterms:created xsi:type="dcterms:W3CDTF">2019-04-09T21:54:17Z</dcterms:created>
  <dcterms:modified xsi:type="dcterms:W3CDTF">2019-04-11T22:34:02Z</dcterms:modified>
  <cp:contentStatus>Final</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MarkAsFinal">
    <vt:bool>true</vt:bool>
  </property>
</Properties>
</file>